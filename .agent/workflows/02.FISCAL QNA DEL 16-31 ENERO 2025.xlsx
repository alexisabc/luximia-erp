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uximiamexico.sharepoint.com/sites/Luximia/Documentos compartidos/RRHH Luximia/01. Nóminas/01. Nómina/FISCAL PAGADORA/2025/QUINCENAL/"/>
    </mc:Choice>
  </mc:AlternateContent>
  <xr:revisionPtr revIDLastSave="0" documentId="8_{CDEB33AB-97FE-43AC-97C9-368018A50D00}" xr6:coauthVersionLast="47" xr6:coauthVersionMax="47" xr10:uidLastSave="{00000000-0000-0000-0000-000000000000}"/>
  <bookViews>
    <workbookView xWindow="-28920" yWindow="-120" windowWidth="29040" windowHeight="15720" tabRatio="476" xr2:uid="{00000000-000D-0000-FFFF-FFFF00000000}"/>
  </bookViews>
  <sheets>
    <sheet name="LUXIMIA " sheetId="25" r:id="rId1"/>
    <sheet name="SHARK" sheetId="26" r:id="rId2"/>
    <sheet name="PETREOS" sheetId="30" r:id="rId3"/>
    <sheet name="RESUMEN PCE" sheetId="31" r:id="rId4"/>
    <sheet name="RESUMEN LUXIMIA,SHARK1" sheetId="27" r:id="rId5"/>
    <sheet name="RESUMEN" sheetId="18" r:id="rId6"/>
    <sheet name="Cuotas IMSS" sheetId="29" state="hidden" r:id="rId7"/>
    <sheet name="vacaciones" sheetId="7" state="hidden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\a" localSheetId="0">[1]Pago!#REF!</definedName>
    <definedName name="\a" localSheetId="5">[1]Pago!#REF!</definedName>
    <definedName name="\a" localSheetId="1">[1]Pago!#REF!</definedName>
    <definedName name="\a">[1]Pago!#REF!</definedName>
    <definedName name="\n" localSheetId="0">[1]Pago!#REF!</definedName>
    <definedName name="\n" localSheetId="5">[1]Pago!#REF!</definedName>
    <definedName name="\n" localSheetId="1">[1]Pago!#REF!</definedName>
    <definedName name="\n">[1]Pago!#REF!</definedName>
    <definedName name="_a" localSheetId="0">[2]Proceso!#REF!</definedName>
    <definedName name="_a" localSheetId="5">[3]Proceso!#REF!</definedName>
    <definedName name="_a" localSheetId="1">[2]Proceso!#REF!</definedName>
    <definedName name="_a">[2]Proceso!#REF!</definedName>
    <definedName name="_xlnm._FilterDatabase" localSheetId="6" hidden="1">'Cuotas IMSS'!$B$7:$AW$52</definedName>
    <definedName name="_xlnm._FilterDatabase" localSheetId="0" hidden="1">'LUXIMIA '!$A$15:$AG$44</definedName>
    <definedName name="_xlnm._FilterDatabase" localSheetId="5">#REF!</definedName>
    <definedName name="_xlnm._FilterDatabase" localSheetId="1" hidden="1">SHARK!$A$14:$AE$28</definedName>
    <definedName name="_xlnm._FilterDatabase">#REF!</definedName>
    <definedName name="_xlnm.Print_Area" localSheetId="0">'LUXIMIA '!$A$1:$S$45</definedName>
    <definedName name="_xlnm.Print_Area" localSheetId="5">RESUMEN!$A$1:$G$15</definedName>
    <definedName name="_xlnm.Print_Area" localSheetId="1">SHARK!$A$1:$U$24</definedName>
    <definedName name="INVLINS" localSheetId="6">[2]Proceso!#REF!</definedName>
    <definedName name="INVLINS" localSheetId="0">[2]Proceso!#REF!</definedName>
    <definedName name="INVLINS" localSheetId="5">[3]Proceso!#REF!</definedName>
    <definedName name="INVLINS" localSheetId="1">[2]Proceso!#REF!</definedName>
    <definedName name="INVLINS">[2]Proceso!#REF!</definedName>
    <definedName name="INVMAGN" localSheetId="0">[2]Proceso!#REF!</definedName>
    <definedName name="INVMAGN" localSheetId="5">[3]Proceso!#REF!</definedName>
    <definedName name="INVMAGN" localSheetId="1">[2]Proceso!#REF!</definedName>
    <definedName name="INVMAGN">[2]Proceso!#REF!</definedName>
    <definedName name="INVMOL1" localSheetId="0">[2]Proceso!#REF!</definedName>
    <definedName name="INVMOL1" localSheetId="5">[3]Proceso!#REF!</definedName>
    <definedName name="INVMOL1" localSheetId="1">[2]Proceso!#REF!</definedName>
    <definedName name="INVMOL1">[2]Proceso!#REF!</definedName>
    <definedName name="INVPERF" localSheetId="0">[2]Proceso!#REF!</definedName>
    <definedName name="INVPERF" localSheetId="5">[3]Proceso!#REF!</definedName>
    <definedName name="INVPERF" localSheetId="1">[2]Proceso!#REF!</definedName>
    <definedName name="INVPERF">[2]Proceso!#REF!</definedName>
    <definedName name="INVPLAS" localSheetId="0">[2]Proceso!#REF!</definedName>
    <definedName name="INVPLAS" localSheetId="5">[3]Proceso!#REF!</definedName>
    <definedName name="INVPLAS" localSheetId="1">[2]Proceso!#REF!</definedName>
    <definedName name="INVPLAS">[2]Proceso!#REF!</definedName>
    <definedName name="INVPLESSY" localSheetId="0">[2]Proceso!#REF!</definedName>
    <definedName name="INVPLESSY" localSheetId="5">[3]Proceso!#REF!</definedName>
    <definedName name="INVPLESSY" localSheetId="1">[2]Proceso!#REF!</definedName>
    <definedName name="INVPLESSY">[2]Proceso!#REF!</definedName>
    <definedName name="INVSELLO" localSheetId="0">[2]Proceso!#REF!</definedName>
    <definedName name="INVSELLO" localSheetId="5">[3]Proceso!#REF!</definedName>
    <definedName name="INVSELLO" localSheetId="1">[2]Proceso!#REF!</definedName>
    <definedName name="INVSELLO">[2]Proceso!#REF!</definedName>
    <definedName name="INVYOD" localSheetId="0">[2]Proceso!#REF!</definedName>
    <definedName name="INVYOD" localSheetId="5">[3]Proceso!#REF!</definedName>
    <definedName name="INVYOD" localSheetId="1">[2]Proceso!#REF!</definedName>
    <definedName name="INVYOD">[2]Proceso!#REF!</definedName>
    <definedName name="Macro1" localSheetId="5">[4]Macros!$A$1</definedName>
    <definedName name="Macro1">[5]Macros!$A$1</definedName>
    <definedName name="Macro2" localSheetId="5">[6]Macro!$A$1</definedName>
    <definedName name="Macro2">[7]Macro!$A$1</definedName>
    <definedName name="MENSUAL">'[8]Calculadora ISR 2023'!$P$42:$S$54</definedName>
    <definedName name="MESES" localSheetId="6">#REF!</definedName>
    <definedName name="MESES" localSheetId="0">#REF!</definedName>
    <definedName name="MESES" localSheetId="5">#REF!</definedName>
    <definedName name="MESES" localSheetId="1">#REF!</definedName>
    <definedName name="MESES">#REF!</definedName>
    <definedName name="NOMBRE" localSheetId="0">#REF!</definedName>
    <definedName name="NOMBRE" localSheetId="5">#REF!</definedName>
    <definedName name="NOMBRE" localSheetId="1">#REF!</definedName>
    <definedName name="NOMBRE">#REF!</definedName>
    <definedName name="QUINCENAL">'[8]Calculadora ISR 2023'!$K$42:$N$54</definedName>
    <definedName name="Ref_1" localSheetId="6">#REF!</definedName>
    <definedName name="Ref_1" localSheetId="0">#REF!</definedName>
    <definedName name="Ref_1" localSheetId="5">#REF!</definedName>
    <definedName name="Ref_1" localSheetId="1">#REF!</definedName>
    <definedName name="Ref_1">#REF!</definedName>
    <definedName name="Ref_10" localSheetId="0">#REF!</definedName>
    <definedName name="Ref_10" localSheetId="5">#REF!</definedName>
    <definedName name="Ref_10" localSheetId="1">#REF!</definedName>
    <definedName name="Ref_10">#REF!</definedName>
    <definedName name="Ref_11" localSheetId="0">#REF!</definedName>
    <definedName name="Ref_11" localSheetId="5">#REF!</definedName>
    <definedName name="Ref_11" localSheetId="1">#REF!</definedName>
    <definedName name="Ref_11">#REF!</definedName>
    <definedName name="Ref_12" localSheetId="0">#REF!</definedName>
    <definedName name="Ref_12" localSheetId="5">#REF!</definedName>
    <definedName name="Ref_12" localSheetId="1">#REF!</definedName>
    <definedName name="Ref_12">#REF!</definedName>
    <definedName name="Ref_2" localSheetId="0">#REF!</definedName>
    <definedName name="Ref_2" localSheetId="5">#REF!</definedName>
    <definedName name="Ref_2" localSheetId="1">#REF!</definedName>
    <definedName name="Ref_2">#REF!</definedName>
    <definedName name="Ref_3" localSheetId="0">#REF!</definedName>
    <definedName name="Ref_3" localSheetId="5">#REF!</definedName>
    <definedName name="Ref_3" localSheetId="1">#REF!</definedName>
    <definedName name="Ref_3">#REF!</definedName>
    <definedName name="Ref_4" localSheetId="0">#REF!</definedName>
    <definedName name="Ref_4" localSheetId="5">#REF!</definedName>
    <definedName name="Ref_4" localSheetId="1">#REF!</definedName>
    <definedName name="Ref_4">#REF!</definedName>
    <definedName name="Ref_5" localSheetId="0">#REF!</definedName>
    <definedName name="Ref_5" localSheetId="5">#REF!</definedName>
    <definedName name="Ref_5" localSheetId="1">#REF!</definedName>
    <definedName name="Ref_5">#REF!</definedName>
    <definedName name="Ref_6" localSheetId="0">#REF!</definedName>
    <definedName name="Ref_6" localSheetId="5">#REF!</definedName>
    <definedName name="Ref_6" localSheetId="1">#REF!</definedName>
    <definedName name="Ref_6">#REF!</definedName>
    <definedName name="Ref_7" localSheetId="0">#REF!</definedName>
    <definedName name="Ref_7" localSheetId="5">#REF!</definedName>
    <definedName name="Ref_7" localSheetId="1">#REF!</definedName>
    <definedName name="Ref_7">#REF!</definedName>
    <definedName name="Ref_8" localSheetId="0">#REF!</definedName>
    <definedName name="Ref_8" localSheetId="5">#REF!</definedName>
    <definedName name="Ref_8" localSheetId="1">#REF!</definedName>
    <definedName name="Ref_8">#REF!</definedName>
    <definedName name="Ref_9" localSheetId="0">#REF!</definedName>
    <definedName name="Ref_9" localSheetId="5">#REF!</definedName>
    <definedName name="Ref_9" localSheetId="1">#REF!</definedName>
    <definedName name="Ref_9">#REF!</definedName>
    <definedName name="SEMANAL">'[8]Calculadora ISR 2023'!$F$42:$I$54</definedName>
    <definedName name="SUBSIDIOMEN">'[8]Calculadora ISR 2023'!$P$56:$S$68</definedName>
    <definedName name="SUBSIDIOQUI">'[8]Calculadora ISR 2023'!$K$56:$N$68</definedName>
    <definedName name="SUBSIDIOSEM">'[8]Calculadora ISR 2023'!$F$56:$I$68</definedName>
    <definedName name="TextRefCopy1" localSheetId="6">#REF!</definedName>
    <definedName name="TextRefCopy1" localSheetId="0">#REF!</definedName>
    <definedName name="TextRefCopy1" localSheetId="5">#REF!</definedName>
    <definedName name="TextRefCopy1" localSheetId="1">#REF!</definedName>
    <definedName name="TextRefCopy1">#REF!</definedName>
    <definedName name="TextRefCopy10" localSheetId="0">#REF!</definedName>
    <definedName name="TextRefCopy10" localSheetId="5">#REF!</definedName>
    <definedName name="TextRefCopy10" localSheetId="1">#REF!</definedName>
    <definedName name="TextRefCopy10">#REF!</definedName>
    <definedName name="TextRefCopy12" localSheetId="0">#REF!</definedName>
    <definedName name="TextRefCopy12" localSheetId="5">#REF!</definedName>
    <definedName name="TextRefCopy12" localSheetId="1">#REF!</definedName>
    <definedName name="TextRefCopy12">#REF!</definedName>
    <definedName name="TextRefCopy16" localSheetId="0">#REF!</definedName>
    <definedName name="TextRefCopy16" localSheetId="5">#REF!</definedName>
    <definedName name="TextRefCopy16" localSheetId="1">#REF!</definedName>
    <definedName name="TextRefCopy16">#REF!</definedName>
    <definedName name="TextRefCopy17" localSheetId="0">#REF!</definedName>
    <definedName name="TextRefCopy17" localSheetId="5">#REF!</definedName>
    <definedName name="TextRefCopy17" localSheetId="1">#REF!</definedName>
    <definedName name="TextRefCopy17">#REF!</definedName>
    <definedName name="TextRefCopy18" localSheetId="0">#REF!</definedName>
    <definedName name="TextRefCopy18" localSheetId="5">#REF!</definedName>
    <definedName name="TextRefCopy18" localSheetId="1">#REF!</definedName>
    <definedName name="TextRefCopy18">#REF!</definedName>
    <definedName name="TextRefCopy19" localSheetId="0">#REF!</definedName>
    <definedName name="TextRefCopy19" localSheetId="5">#REF!</definedName>
    <definedName name="TextRefCopy19" localSheetId="1">#REF!</definedName>
    <definedName name="TextRefCopy19">#REF!</definedName>
    <definedName name="TextRefCopy2" localSheetId="0">#REF!</definedName>
    <definedName name="TextRefCopy2" localSheetId="5">#REF!</definedName>
    <definedName name="TextRefCopy2" localSheetId="1">#REF!</definedName>
    <definedName name="TextRefCopy2">#REF!</definedName>
    <definedName name="TextRefCopy21" localSheetId="0">#REF!</definedName>
    <definedName name="TextRefCopy21" localSheetId="5">#REF!</definedName>
    <definedName name="TextRefCopy21" localSheetId="1">#REF!</definedName>
    <definedName name="TextRefCopy21">#REF!</definedName>
    <definedName name="TextRefCopy22" localSheetId="0">#REF!</definedName>
    <definedName name="TextRefCopy22" localSheetId="5">#REF!</definedName>
    <definedName name="TextRefCopy22" localSheetId="1">#REF!</definedName>
    <definedName name="TextRefCopy22">#REF!</definedName>
    <definedName name="TextRefCopy24" localSheetId="0">#REF!</definedName>
    <definedName name="TextRefCopy24" localSheetId="5">#REF!</definedName>
    <definedName name="TextRefCopy24" localSheetId="1">#REF!</definedName>
    <definedName name="TextRefCopy24">#REF!</definedName>
    <definedName name="TextRefCopy26" localSheetId="0">#REF!</definedName>
    <definedName name="TextRefCopy26" localSheetId="5">#REF!</definedName>
    <definedName name="TextRefCopy26" localSheetId="1">#REF!</definedName>
    <definedName name="TextRefCopy26">#REF!</definedName>
    <definedName name="TextRefCopy28" localSheetId="0">#REF!</definedName>
    <definedName name="TextRefCopy28" localSheetId="5">#REF!</definedName>
    <definedName name="TextRefCopy28" localSheetId="1">#REF!</definedName>
    <definedName name="TextRefCopy28">#REF!</definedName>
    <definedName name="TextRefCopy3" localSheetId="0">#REF!</definedName>
    <definedName name="TextRefCopy3" localSheetId="5">#REF!</definedName>
    <definedName name="TextRefCopy3" localSheetId="1">#REF!</definedName>
    <definedName name="TextRefCopy3">#REF!</definedName>
    <definedName name="TextRefCopy30" localSheetId="0">#REF!</definedName>
    <definedName name="TextRefCopy30" localSheetId="5">#REF!</definedName>
    <definedName name="TextRefCopy30" localSheetId="1">#REF!</definedName>
    <definedName name="TextRefCopy30">#REF!</definedName>
    <definedName name="TextRefCopy31" localSheetId="0">#REF!</definedName>
    <definedName name="TextRefCopy31" localSheetId="5">#REF!</definedName>
    <definedName name="TextRefCopy31" localSheetId="1">#REF!</definedName>
    <definedName name="TextRefCopy31">#REF!</definedName>
    <definedName name="TextRefCopy32" localSheetId="0">#REF!</definedName>
    <definedName name="TextRefCopy32" localSheetId="5">#REF!</definedName>
    <definedName name="TextRefCopy32" localSheetId="1">#REF!</definedName>
    <definedName name="TextRefCopy32">#REF!</definedName>
    <definedName name="TextRefCopy5" localSheetId="0">#REF!</definedName>
    <definedName name="TextRefCopy5" localSheetId="5">#REF!</definedName>
    <definedName name="TextRefCopy5" localSheetId="1">#REF!</definedName>
    <definedName name="TextRefCopy5">#REF!</definedName>
    <definedName name="TextRefCopy7" localSheetId="0">#REF!</definedName>
    <definedName name="TextRefCopy7" localSheetId="5">#REF!</definedName>
    <definedName name="TextRefCopy7" localSheetId="1">#REF!</definedName>
    <definedName name="TextRefCopy7">#REF!</definedName>
    <definedName name="TextRefCopy8" localSheetId="0">#REF!</definedName>
    <definedName name="TextRefCopy8" localSheetId="5">#REF!</definedName>
    <definedName name="TextRefCopy8" localSheetId="1">#REF!</definedName>
    <definedName name="TextRefCopy8">#REF!</definedName>
  </definedNames>
  <calcPr calcId="191028" iterateDelta="1E-4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8" l="1"/>
  <c r="J28" i="31"/>
  <c r="R28" i="31"/>
  <c r="AB20" i="27"/>
  <c r="AB17" i="27"/>
  <c r="AC51" i="25"/>
  <c r="G10" i="18"/>
  <c r="AC17" i="27"/>
  <c r="S28" i="31"/>
  <c r="S30" i="31" s="1"/>
  <c r="T29" i="31"/>
  <c r="U29" i="31" s="1"/>
  <c r="T27" i="31"/>
  <c r="U27" i="31" s="1"/>
  <c r="U26" i="31"/>
  <c r="V26" i="31" s="1"/>
  <c r="T26" i="31"/>
  <c r="R25" i="31"/>
  <c r="R24" i="31"/>
  <c r="T23" i="31"/>
  <c r="U23" i="31" s="1"/>
  <c r="T22" i="31"/>
  <c r="U22" i="31" s="1"/>
  <c r="T21" i="31"/>
  <c r="U21" i="31" s="1"/>
  <c r="T20" i="31"/>
  <c r="U20" i="31" s="1"/>
  <c r="T19" i="31"/>
  <c r="U19" i="31" s="1"/>
  <c r="R18" i="31"/>
  <c r="T17" i="31"/>
  <c r="U17" i="31" s="1"/>
  <c r="Q10" i="31"/>
  <c r="E15" i="30"/>
  <c r="E16" i="30"/>
  <c r="AA15" i="30"/>
  <c r="AB16" i="30"/>
  <c r="U15" i="30"/>
  <c r="V15" i="30"/>
  <c r="X15" i="30"/>
  <c r="X16" i="30" s="1"/>
  <c r="F16" i="30"/>
  <c r="G16" i="30"/>
  <c r="H16" i="30"/>
  <c r="I16" i="30"/>
  <c r="J16" i="30"/>
  <c r="K16" i="30"/>
  <c r="L16" i="30"/>
  <c r="M16" i="30"/>
  <c r="N16" i="30"/>
  <c r="O16" i="30"/>
  <c r="P16" i="30"/>
  <c r="Q16" i="30"/>
  <c r="R16" i="30"/>
  <c r="S16" i="30"/>
  <c r="T16" i="30"/>
  <c r="U16" i="30"/>
  <c r="V16" i="30"/>
  <c r="W16" i="30"/>
  <c r="R15" i="30"/>
  <c r="Q15" i="30"/>
  <c r="L15" i="30"/>
  <c r="H15" i="30"/>
  <c r="V21" i="31" l="1"/>
  <c r="W21" i="31" s="1"/>
  <c r="V23" i="31"/>
  <c r="W23" i="31"/>
  <c r="V27" i="31"/>
  <c r="W27" i="31"/>
  <c r="W17" i="31"/>
  <c r="V17" i="31"/>
  <c r="V29" i="31"/>
  <c r="W29" i="31" s="1"/>
  <c r="V22" i="31"/>
  <c r="W22" i="31" s="1"/>
  <c r="U25" i="31"/>
  <c r="V19" i="31"/>
  <c r="W19" i="31" s="1"/>
  <c r="V20" i="31"/>
  <c r="W20" i="31"/>
  <c r="T18" i="31"/>
  <c r="U18" i="31" s="1"/>
  <c r="T24" i="31"/>
  <c r="U24" i="31" s="1"/>
  <c r="T25" i="31"/>
  <c r="T28" i="31"/>
  <c r="T30" i="31" s="1"/>
  <c r="W26" i="31"/>
  <c r="R30" i="31"/>
  <c r="Y15" i="30"/>
  <c r="W22" i="26"/>
  <c r="H15" i="26"/>
  <c r="V41" i="25"/>
  <c r="C17" i="31" s="1"/>
  <c r="T43" i="25"/>
  <c r="E42" i="25"/>
  <c r="E39" i="25"/>
  <c r="F43" i="25"/>
  <c r="G43" i="25"/>
  <c r="I43" i="25"/>
  <c r="J43" i="25"/>
  <c r="K43" i="25"/>
  <c r="M43" i="25"/>
  <c r="N43" i="25"/>
  <c r="O43" i="25"/>
  <c r="P43" i="25"/>
  <c r="U43" i="25"/>
  <c r="X43" i="25"/>
  <c r="V42" i="25"/>
  <c r="H42" i="25"/>
  <c r="L42" i="25" s="1"/>
  <c r="W42" i="25" s="1"/>
  <c r="V16" i="25"/>
  <c r="Q41" i="25"/>
  <c r="H41" i="25"/>
  <c r="L41" i="25" s="1"/>
  <c r="W41" i="25" s="1"/>
  <c r="AD43" i="25"/>
  <c r="U28" i="31" l="1"/>
  <c r="U30" i="31" s="1"/>
  <c r="V24" i="31"/>
  <c r="W24" i="31" s="1"/>
  <c r="V18" i="31"/>
  <c r="W18" i="31" s="1"/>
  <c r="V25" i="31"/>
  <c r="Y16" i="30"/>
  <c r="Z15" i="30"/>
  <c r="B17" i="31"/>
  <c r="R42" i="25"/>
  <c r="R41" i="25"/>
  <c r="Y41" i="25"/>
  <c r="V40" i="25"/>
  <c r="C18" i="31" s="1"/>
  <c r="V28" i="31" l="1"/>
  <c r="W28" i="31" s="1"/>
  <c r="W30" i="31" s="1"/>
  <c r="W35" i="31" s="1"/>
  <c r="W25" i="31"/>
  <c r="Z16" i="30"/>
  <c r="AA16" i="30"/>
  <c r="Z41" i="25"/>
  <c r="AA41" i="25" s="1"/>
  <c r="AB41" i="25" s="1"/>
  <c r="AC41" i="25" s="1"/>
  <c r="Y42" i="25"/>
  <c r="H40" i="25"/>
  <c r="V30" i="31" l="1"/>
  <c r="AB15" i="30"/>
  <c r="Z42" i="25"/>
  <c r="AA42" i="25"/>
  <c r="AB42" i="25" s="1"/>
  <c r="AC42" i="25" s="1"/>
  <c r="L29" i="31"/>
  <c r="M29" i="31" s="1"/>
  <c r="L27" i="31"/>
  <c r="M27" i="31" s="1"/>
  <c r="L26" i="31"/>
  <c r="M26" i="31" s="1"/>
  <c r="J25" i="31"/>
  <c r="L25" i="31" s="1"/>
  <c r="J24" i="31"/>
  <c r="M23" i="31"/>
  <c r="L23" i="31"/>
  <c r="L22" i="31"/>
  <c r="M22" i="31" s="1"/>
  <c r="L21" i="31"/>
  <c r="M21" i="31" s="1"/>
  <c r="M20" i="31"/>
  <c r="N20" i="31" s="1"/>
  <c r="L20" i="31"/>
  <c r="L19" i="31"/>
  <c r="M19" i="31" s="1"/>
  <c r="J18" i="31"/>
  <c r="L18" i="31" s="1"/>
  <c r="L17" i="31"/>
  <c r="M17" i="31" s="1"/>
  <c r="I10" i="31"/>
  <c r="T21" i="26"/>
  <c r="X21" i="26"/>
  <c r="F22" i="26"/>
  <c r="G22" i="26"/>
  <c r="I22" i="26"/>
  <c r="J22" i="26"/>
  <c r="K22" i="26"/>
  <c r="L22" i="26"/>
  <c r="M22" i="26"/>
  <c r="O22" i="26"/>
  <c r="P22" i="26"/>
  <c r="Q22" i="26"/>
  <c r="R22" i="26"/>
  <c r="S22" i="26"/>
  <c r="V22" i="26"/>
  <c r="H21" i="26"/>
  <c r="N21" i="26" l="1"/>
  <c r="Y21" i="26" s="1"/>
  <c r="K28" i="31"/>
  <c r="K30" i="31" s="1"/>
  <c r="N21" i="31"/>
  <c r="O21" i="31" s="1"/>
  <c r="N22" i="31"/>
  <c r="O22" i="31"/>
  <c r="N26" i="31"/>
  <c r="O26" i="31" s="1"/>
  <c r="N27" i="31"/>
  <c r="O27" i="31" s="1"/>
  <c r="M24" i="31"/>
  <c r="N17" i="31"/>
  <c r="O17" i="31"/>
  <c r="N19" i="31"/>
  <c r="O19" i="31"/>
  <c r="N29" i="31"/>
  <c r="O29" i="31" s="1"/>
  <c r="M18" i="31"/>
  <c r="L24" i="31"/>
  <c r="J30" i="31"/>
  <c r="O20" i="31"/>
  <c r="N23" i="31"/>
  <c r="O23" i="31" s="1"/>
  <c r="M25" i="31"/>
  <c r="AA21" i="26"/>
  <c r="AB21" i="26" s="1"/>
  <c r="V20" i="25"/>
  <c r="V38" i="25"/>
  <c r="H14" i="30"/>
  <c r="H22" i="25"/>
  <c r="Q38" i="25"/>
  <c r="Q39" i="25"/>
  <c r="Q40" i="25"/>
  <c r="V37" i="25"/>
  <c r="V39" i="25"/>
  <c r="C24" i="31" s="1"/>
  <c r="H39" i="25"/>
  <c r="L39" i="25" s="1"/>
  <c r="W39" i="25" s="1"/>
  <c r="B24" i="31" s="1"/>
  <c r="H38" i="25"/>
  <c r="D19" i="31"/>
  <c r="D20" i="31"/>
  <c r="D21" i="31"/>
  <c r="D29" i="31"/>
  <c r="E29" i="31" s="1"/>
  <c r="D28" i="31"/>
  <c r="E28" i="31" s="1"/>
  <c r="D26" i="31"/>
  <c r="E26" i="31" s="1"/>
  <c r="D22" i="31"/>
  <c r="E22" i="31" s="1"/>
  <c r="E20" i="31"/>
  <c r="E19" i="31"/>
  <c r="A10" i="31"/>
  <c r="C25" i="31" l="1"/>
  <c r="C25" i="27"/>
  <c r="L38" i="25"/>
  <c r="U21" i="26"/>
  <c r="L28" i="31"/>
  <c r="N24" i="31"/>
  <c r="O24" i="31" s="1"/>
  <c r="N18" i="31"/>
  <c r="O18" i="31" s="1"/>
  <c r="N25" i="31"/>
  <c r="O25" i="31" s="1"/>
  <c r="AC21" i="26"/>
  <c r="Y39" i="25"/>
  <c r="R39" i="25"/>
  <c r="S39" i="25" s="1"/>
  <c r="S43" i="25" s="1"/>
  <c r="F19" i="31"/>
  <c r="G19" i="31" s="1"/>
  <c r="F26" i="31"/>
  <c r="G26" i="31" s="1"/>
  <c r="F28" i="31"/>
  <c r="G28" i="31" s="1"/>
  <c r="F20" i="31"/>
  <c r="G20" i="31" s="1"/>
  <c r="E27" i="31"/>
  <c r="F22" i="31"/>
  <c r="G22" i="31" s="1"/>
  <c r="F29" i="31"/>
  <c r="G29" i="31" s="1"/>
  <c r="E21" i="31"/>
  <c r="D23" i="31"/>
  <c r="E23" i="31" s="1"/>
  <c r="D27" i="31"/>
  <c r="V24" i="25"/>
  <c r="V25" i="25"/>
  <c r="V26" i="25"/>
  <c r="V27" i="25"/>
  <c r="V28" i="25"/>
  <c r="V29" i="25"/>
  <c r="V30" i="25"/>
  <c r="C26" i="27" s="1"/>
  <c r="V31" i="25"/>
  <c r="V32" i="25"/>
  <c r="V33" i="25"/>
  <c r="V34" i="25"/>
  <c r="V35" i="25"/>
  <c r="V36" i="25"/>
  <c r="C17" i="27" s="1"/>
  <c r="Q37" i="25"/>
  <c r="W38" i="25" l="1"/>
  <c r="R38" i="25"/>
  <c r="Z39" i="25"/>
  <c r="AA39" i="25" s="1"/>
  <c r="AB39" i="25" s="1"/>
  <c r="AC39" i="25" s="1"/>
  <c r="M28" i="31"/>
  <c r="L30" i="31"/>
  <c r="C27" i="27"/>
  <c r="AD21" i="26"/>
  <c r="D17" i="31"/>
  <c r="E17" i="31" s="1"/>
  <c r="F17" i="31" s="1"/>
  <c r="C22" i="27"/>
  <c r="F23" i="31"/>
  <c r="G23" i="31" s="1"/>
  <c r="F21" i="31"/>
  <c r="G21" i="31" s="1"/>
  <c r="F27" i="31"/>
  <c r="G27" i="31" s="1"/>
  <c r="H37" i="25"/>
  <c r="B25" i="27" s="1"/>
  <c r="Y38" i="25" l="1"/>
  <c r="B25" i="31"/>
  <c r="N28" i="31"/>
  <c r="M30" i="31"/>
  <c r="AE21" i="26"/>
  <c r="L37" i="25"/>
  <c r="R37" i="25" s="1"/>
  <c r="G17" i="31"/>
  <c r="Q26" i="25"/>
  <c r="D25" i="31" l="1"/>
  <c r="E25" i="31" s="1"/>
  <c r="F25" i="31" s="1"/>
  <c r="G25" i="31" s="1"/>
  <c r="Z38" i="25"/>
  <c r="AA38" i="25"/>
  <c r="W37" i="25"/>
  <c r="Y37" i="25" s="1"/>
  <c r="Z37" i="25" s="1"/>
  <c r="AA37" i="25" s="1"/>
  <c r="AB37" i="25" s="1"/>
  <c r="O28" i="31"/>
  <c r="O30" i="31" s="1"/>
  <c r="O35" i="31" s="1"/>
  <c r="O39" i="31" s="1"/>
  <c r="N30" i="31"/>
  <c r="Q36" i="25"/>
  <c r="Q32" i="25"/>
  <c r="H32" i="25"/>
  <c r="L32" i="25" s="1"/>
  <c r="W32" i="25" s="1"/>
  <c r="Y32" i="25" s="1"/>
  <c r="E32" i="25"/>
  <c r="U14" i="30"/>
  <c r="C41" i="27"/>
  <c r="D41" i="27" s="1"/>
  <c r="E41" i="27" s="1"/>
  <c r="AB38" i="25" l="1"/>
  <c r="AC38" i="25" s="1"/>
  <c r="L40" i="25"/>
  <c r="W40" i="25" s="1"/>
  <c r="B18" i="31" s="1"/>
  <c r="AC37" i="25"/>
  <c r="Z32" i="25"/>
  <c r="AA32" i="25" s="1"/>
  <c r="AB32" i="25" s="1"/>
  <c r="AC32" i="25" s="1"/>
  <c r="R32" i="25"/>
  <c r="R40" i="25" l="1"/>
  <c r="D18" i="27"/>
  <c r="E18" i="27" s="1"/>
  <c r="F18" i="27" s="1"/>
  <c r="G18" i="27" s="1"/>
  <c r="AB38" i="27"/>
  <c r="AC37" i="27"/>
  <c r="AD37" i="27" s="1"/>
  <c r="AC36" i="27"/>
  <c r="AD36" i="27" s="1"/>
  <c r="AC35" i="27"/>
  <c r="AC38" i="27" s="1"/>
  <c r="AA10" i="27"/>
  <c r="A10" i="30"/>
  <c r="AB19" i="30"/>
  <c r="Q14" i="30"/>
  <c r="E14" i="30"/>
  <c r="Y40" i="25" l="1"/>
  <c r="AE36" i="27"/>
  <c r="AF36" i="27" s="1"/>
  <c r="AG36" i="27" s="1"/>
  <c r="AE37" i="27"/>
  <c r="AF37" i="27" s="1"/>
  <c r="AG37" i="27" s="1"/>
  <c r="AD35" i="27"/>
  <c r="L14" i="30"/>
  <c r="Z40" i="25" l="1"/>
  <c r="AA40" i="25" s="1"/>
  <c r="AB40" i="25" s="1"/>
  <c r="AC40" i="25" s="1"/>
  <c r="B30" i="31"/>
  <c r="D18" i="31"/>
  <c r="V14" i="30"/>
  <c r="X14" i="30" s="1"/>
  <c r="Y14" i="30" s="1"/>
  <c r="R14" i="30"/>
  <c r="AD38" i="27"/>
  <c r="AE35" i="27"/>
  <c r="AE38" i="27" s="1"/>
  <c r="B10" i="18"/>
  <c r="E18" i="31" l="1"/>
  <c r="AF35" i="27"/>
  <c r="F18" i="31" l="1"/>
  <c r="G18" i="31" s="1"/>
  <c r="C10" i="18"/>
  <c r="D10" i="18" s="1"/>
  <c r="E10" i="18" s="1"/>
  <c r="F10" i="18" s="1"/>
  <c r="AF38" i="27"/>
  <c r="AG35" i="27"/>
  <c r="AG38" i="27" s="1"/>
  <c r="AC20" i="27" l="1"/>
  <c r="AD17" i="27"/>
  <c r="Z14" i="30"/>
  <c r="AD20" i="27" l="1"/>
  <c r="AE17" i="27"/>
  <c r="AA14" i="30"/>
  <c r="AE20" i="27" l="1"/>
  <c r="AF17" i="27"/>
  <c r="AF20" i="27" s="1"/>
  <c r="AB14" i="30"/>
  <c r="AB20" i="30" s="1"/>
  <c r="AG17" i="27" l="1"/>
  <c r="AG20" i="27" s="1"/>
  <c r="AG24" i="27" s="1"/>
  <c r="AG26" i="27" s="1"/>
  <c r="Q21" i="25"/>
  <c r="H36" i="25" l="1"/>
  <c r="B17" i="27" s="1"/>
  <c r="E36" i="25"/>
  <c r="P42" i="27"/>
  <c r="L36" i="25" l="1"/>
  <c r="R36" i="25" s="1"/>
  <c r="T19" i="26"/>
  <c r="T20" i="26"/>
  <c r="Q35" i="25"/>
  <c r="E35" i="25"/>
  <c r="H35" i="25"/>
  <c r="E20" i="26"/>
  <c r="Z20" i="26"/>
  <c r="H20" i="26"/>
  <c r="N20" i="26" s="1"/>
  <c r="Z19" i="26"/>
  <c r="Z22" i="26" s="1"/>
  <c r="H19" i="26"/>
  <c r="O23" i="27" s="1"/>
  <c r="E19" i="26"/>
  <c r="W36" i="25" l="1"/>
  <c r="Y36" i="25" s="1"/>
  <c r="L35" i="25"/>
  <c r="W35" i="25" s="1"/>
  <c r="Y35" i="25" s="1"/>
  <c r="Y20" i="26"/>
  <c r="X20" i="26"/>
  <c r="AA20" i="26" s="1"/>
  <c r="AB20" i="26" s="1"/>
  <c r="AC20" i="26" s="1"/>
  <c r="U20" i="26"/>
  <c r="N19" i="26"/>
  <c r="Y19" i="26" s="1"/>
  <c r="Z35" i="25" l="1"/>
  <c r="AA35" i="25" s="1"/>
  <c r="Z36" i="25"/>
  <c r="AA36" i="25" s="1"/>
  <c r="R35" i="25"/>
  <c r="AD20" i="26"/>
  <c r="AE20" i="26" s="1"/>
  <c r="X19" i="26"/>
  <c r="AA19" i="26" s="1"/>
  <c r="AB19" i="26" s="1"/>
  <c r="AC19" i="26" s="1"/>
  <c r="U19" i="26"/>
  <c r="AB35" i="25" l="1"/>
  <c r="AC35" i="25" s="1"/>
  <c r="AB36" i="25"/>
  <c r="AC36" i="25" s="1"/>
  <c r="AD19" i="26"/>
  <c r="AE19" i="26" s="1"/>
  <c r="P23" i="27"/>
  <c r="Q23" i="27" s="1"/>
  <c r="H16" i="26"/>
  <c r="H17" i="26"/>
  <c r="O18" i="27" s="1"/>
  <c r="H18" i="26"/>
  <c r="O22" i="27" s="1"/>
  <c r="H17" i="25"/>
  <c r="H18" i="25"/>
  <c r="B20" i="27" s="1"/>
  <c r="H19" i="25"/>
  <c r="B24" i="27" s="1"/>
  <c r="H20" i="25"/>
  <c r="H21" i="25"/>
  <c r="H23" i="25"/>
  <c r="H24" i="25"/>
  <c r="H25" i="25"/>
  <c r="H26" i="25"/>
  <c r="H27" i="25"/>
  <c r="H28" i="25"/>
  <c r="H29" i="25"/>
  <c r="H30" i="25"/>
  <c r="B26" i="27" s="1"/>
  <c r="H31" i="25"/>
  <c r="B22" i="27" s="1"/>
  <c r="D22" i="27" s="1"/>
  <c r="H33" i="25"/>
  <c r="H34" i="25"/>
  <c r="H16" i="25"/>
  <c r="H43" i="25" l="1"/>
  <c r="H22" i="26"/>
  <c r="B27" i="27"/>
  <c r="L21" i="25"/>
  <c r="W21" i="25" s="1"/>
  <c r="B23" i="27"/>
  <c r="B21" i="27"/>
  <c r="B19" i="27"/>
  <c r="R21" i="25"/>
  <c r="F41" i="27"/>
  <c r="G41" i="27" s="1"/>
  <c r="P43" i="27" l="1"/>
  <c r="Q43" i="27" s="1"/>
  <c r="R43" i="27" l="1"/>
  <c r="S43" i="27" s="1"/>
  <c r="T43" i="27" s="1"/>
  <c r="E16" i="26" l="1"/>
  <c r="E17" i="26"/>
  <c r="E18" i="26"/>
  <c r="E15" i="26"/>
  <c r="E22" i="26" s="1"/>
  <c r="L16" i="25"/>
  <c r="L17" i="25"/>
  <c r="L19" i="25"/>
  <c r="L20" i="25"/>
  <c r="W20" i="25" s="1"/>
  <c r="Y20" i="25" s="1"/>
  <c r="L22" i="25"/>
  <c r="L23" i="25"/>
  <c r="L25" i="25"/>
  <c r="W25" i="25" s="1"/>
  <c r="L26" i="25"/>
  <c r="L27" i="25"/>
  <c r="W27" i="25" s="1"/>
  <c r="L28" i="25"/>
  <c r="W28" i="25" s="1"/>
  <c r="Y28" i="25" s="1"/>
  <c r="L29" i="25"/>
  <c r="W29" i="25" s="1"/>
  <c r="L30" i="25"/>
  <c r="W30" i="25" s="1"/>
  <c r="Y30" i="25" s="1"/>
  <c r="L31" i="25"/>
  <c r="W31" i="25" s="1"/>
  <c r="Y31" i="25" s="1"/>
  <c r="L33" i="25"/>
  <c r="W33" i="25" s="1"/>
  <c r="L34" i="25"/>
  <c r="W34" i="25" s="1"/>
  <c r="E17" i="25"/>
  <c r="E18" i="25"/>
  <c r="E19" i="25"/>
  <c r="E20" i="25"/>
  <c r="E21" i="25"/>
  <c r="E22" i="25"/>
  <c r="E23" i="25"/>
  <c r="E24" i="25"/>
  <c r="E25" i="25"/>
  <c r="E26" i="25"/>
  <c r="E27" i="25"/>
  <c r="E28" i="25"/>
  <c r="E29" i="25"/>
  <c r="E30" i="25"/>
  <c r="E31" i="25"/>
  <c r="E33" i="25"/>
  <c r="E34" i="25"/>
  <c r="E16" i="25"/>
  <c r="H32" i="29"/>
  <c r="S32" i="29" s="1"/>
  <c r="AD52" i="29"/>
  <c r="X52" i="29"/>
  <c r="AK52" i="29" s="1"/>
  <c r="V52" i="29"/>
  <c r="U52" i="29"/>
  <c r="T52" i="29"/>
  <c r="S52" i="29"/>
  <c r="R52" i="29"/>
  <c r="Q52" i="29"/>
  <c r="P52" i="29"/>
  <c r="O52" i="29"/>
  <c r="N52" i="29"/>
  <c r="M52" i="29"/>
  <c r="L52" i="29"/>
  <c r="I52" i="29"/>
  <c r="AD51" i="29"/>
  <c r="X51" i="29"/>
  <c r="AK51" i="29" s="1"/>
  <c r="V51" i="29"/>
  <c r="U51" i="29"/>
  <c r="T51" i="29"/>
  <c r="S51" i="29"/>
  <c r="R51" i="29"/>
  <c r="Q51" i="29"/>
  <c r="P51" i="29"/>
  <c r="O51" i="29"/>
  <c r="N51" i="29"/>
  <c r="M51" i="29"/>
  <c r="L51" i="29"/>
  <c r="I51" i="29"/>
  <c r="AK50" i="29"/>
  <c r="X50" i="29"/>
  <c r="AD50" i="29" s="1"/>
  <c r="V50" i="29"/>
  <c r="U50" i="29"/>
  <c r="T50" i="29"/>
  <c r="S50" i="29"/>
  <c r="R50" i="29"/>
  <c r="Q50" i="29"/>
  <c r="P50" i="29"/>
  <c r="O50" i="29"/>
  <c r="N50" i="29"/>
  <c r="M50" i="29"/>
  <c r="L50" i="29"/>
  <c r="I50" i="29"/>
  <c r="AD49" i="29"/>
  <c r="X49" i="29"/>
  <c r="AK49" i="29" s="1"/>
  <c r="V49" i="29"/>
  <c r="U49" i="29"/>
  <c r="T49" i="29"/>
  <c r="S49" i="29"/>
  <c r="R49" i="29"/>
  <c r="Q49" i="29"/>
  <c r="P49" i="29"/>
  <c r="O49" i="29"/>
  <c r="N49" i="29"/>
  <c r="M49" i="29"/>
  <c r="L49" i="29"/>
  <c r="I49" i="29"/>
  <c r="AD48" i="29"/>
  <c r="X48" i="29"/>
  <c r="AK48" i="29" s="1"/>
  <c r="V48" i="29"/>
  <c r="U48" i="29"/>
  <c r="T48" i="29"/>
  <c r="S48" i="29"/>
  <c r="R48" i="29"/>
  <c r="Q48" i="29"/>
  <c r="P48" i="29"/>
  <c r="O48" i="29"/>
  <c r="N48" i="29"/>
  <c r="M48" i="29"/>
  <c r="L48" i="29"/>
  <c r="I48" i="29"/>
  <c r="AK47" i="29"/>
  <c r="X47" i="29"/>
  <c r="AD47" i="29" s="1"/>
  <c r="V47" i="29"/>
  <c r="U47" i="29"/>
  <c r="T47" i="29"/>
  <c r="S47" i="29"/>
  <c r="R47" i="29"/>
  <c r="Q47" i="29"/>
  <c r="P47" i="29"/>
  <c r="O47" i="29"/>
  <c r="N47" i="29"/>
  <c r="M47" i="29"/>
  <c r="L47" i="29"/>
  <c r="I47" i="29"/>
  <c r="X46" i="29"/>
  <c r="AK46" i="29" s="1"/>
  <c r="V46" i="29"/>
  <c r="U46" i="29"/>
  <c r="T46" i="29"/>
  <c r="S46" i="29"/>
  <c r="R46" i="29"/>
  <c r="Q46" i="29"/>
  <c r="P46" i="29"/>
  <c r="O46" i="29"/>
  <c r="N46" i="29"/>
  <c r="M46" i="29"/>
  <c r="L46" i="29"/>
  <c r="I46" i="29"/>
  <c r="X45" i="29"/>
  <c r="AK45" i="29" s="1"/>
  <c r="V45" i="29"/>
  <c r="U45" i="29"/>
  <c r="T45" i="29"/>
  <c r="S45" i="29"/>
  <c r="R45" i="29"/>
  <c r="Q45" i="29"/>
  <c r="P45" i="29"/>
  <c r="O45" i="29"/>
  <c r="N45" i="29"/>
  <c r="M45" i="29"/>
  <c r="L45" i="29"/>
  <c r="I45" i="29"/>
  <c r="X44" i="29"/>
  <c r="AD44" i="29" s="1"/>
  <c r="V44" i="29"/>
  <c r="U44" i="29"/>
  <c r="T44" i="29"/>
  <c r="S44" i="29"/>
  <c r="R44" i="29"/>
  <c r="Q44" i="29"/>
  <c r="P44" i="29"/>
  <c r="O44" i="29"/>
  <c r="N44" i="29"/>
  <c r="M44" i="29"/>
  <c r="L44" i="29"/>
  <c r="I44" i="29"/>
  <c r="X43" i="29"/>
  <c r="AK43" i="29" s="1"/>
  <c r="V43" i="29"/>
  <c r="U43" i="29"/>
  <c r="T43" i="29"/>
  <c r="S43" i="29"/>
  <c r="R43" i="29"/>
  <c r="Q43" i="29"/>
  <c r="P43" i="29"/>
  <c r="O43" i="29"/>
  <c r="N43" i="29"/>
  <c r="M43" i="29"/>
  <c r="L43" i="29"/>
  <c r="I43" i="29"/>
  <c r="X42" i="29"/>
  <c r="AK42" i="29" s="1"/>
  <c r="V42" i="29"/>
  <c r="U42" i="29"/>
  <c r="T42" i="29"/>
  <c r="S42" i="29"/>
  <c r="R42" i="29"/>
  <c r="Q42" i="29"/>
  <c r="P42" i="29"/>
  <c r="O42" i="29"/>
  <c r="N42" i="29"/>
  <c r="M42" i="29"/>
  <c r="L42" i="29"/>
  <c r="I42" i="29"/>
  <c r="X41" i="29"/>
  <c r="AD41" i="29" s="1"/>
  <c r="V41" i="29"/>
  <c r="U41" i="29"/>
  <c r="T41" i="29"/>
  <c r="S41" i="29"/>
  <c r="R41" i="29"/>
  <c r="Q41" i="29"/>
  <c r="P41" i="29"/>
  <c r="O41" i="29"/>
  <c r="N41" i="29"/>
  <c r="M41" i="29"/>
  <c r="L41" i="29"/>
  <c r="I41" i="29"/>
  <c r="X40" i="29"/>
  <c r="V40" i="29"/>
  <c r="U40" i="29"/>
  <c r="T40" i="29"/>
  <c r="S40" i="29"/>
  <c r="R40" i="29"/>
  <c r="Q40" i="29"/>
  <c r="P40" i="29"/>
  <c r="O40" i="29"/>
  <c r="N40" i="29"/>
  <c r="M40" i="29"/>
  <c r="L40" i="29"/>
  <c r="I40" i="29"/>
  <c r="X39" i="29"/>
  <c r="AK39" i="29" s="1"/>
  <c r="V39" i="29"/>
  <c r="U39" i="29"/>
  <c r="T39" i="29"/>
  <c r="S39" i="29"/>
  <c r="R39" i="29"/>
  <c r="Q39" i="29"/>
  <c r="P39" i="29"/>
  <c r="O39" i="29"/>
  <c r="N39" i="29"/>
  <c r="M39" i="29"/>
  <c r="L39" i="29"/>
  <c r="I39" i="29"/>
  <c r="X38" i="29"/>
  <c r="AD38" i="29" s="1"/>
  <c r="V38" i="29"/>
  <c r="U38" i="29"/>
  <c r="T38" i="29"/>
  <c r="S38" i="29"/>
  <c r="R38" i="29"/>
  <c r="Q38" i="29"/>
  <c r="P38" i="29"/>
  <c r="O38" i="29"/>
  <c r="N38" i="29"/>
  <c r="M38" i="29"/>
  <c r="L38" i="29"/>
  <c r="I38" i="29"/>
  <c r="X37" i="29"/>
  <c r="V37" i="29"/>
  <c r="U37" i="29"/>
  <c r="T37" i="29"/>
  <c r="S37" i="29"/>
  <c r="R37" i="29"/>
  <c r="Q37" i="29"/>
  <c r="P37" i="29"/>
  <c r="O37" i="29"/>
  <c r="N37" i="29"/>
  <c r="M37" i="29"/>
  <c r="L37" i="29"/>
  <c r="I37" i="29"/>
  <c r="X36" i="29"/>
  <c r="AK36" i="29" s="1"/>
  <c r="V36" i="29"/>
  <c r="U36" i="29"/>
  <c r="T36" i="29"/>
  <c r="S36" i="29"/>
  <c r="R36" i="29"/>
  <c r="Q36" i="29"/>
  <c r="P36" i="29"/>
  <c r="O36" i="29"/>
  <c r="N36" i="29"/>
  <c r="M36" i="29"/>
  <c r="L36" i="29"/>
  <c r="I36" i="29"/>
  <c r="X35" i="29"/>
  <c r="AD35" i="29" s="1"/>
  <c r="V35" i="29"/>
  <c r="U35" i="29"/>
  <c r="T35" i="29"/>
  <c r="S35" i="29"/>
  <c r="R35" i="29"/>
  <c r="Q35" i="29"/>
  <c r="P35" i="29"/>
  <c r="O35" i="29"/>
  <c r="N35" i="29"/>
  <c r="M35" i="29"/>
  <c r="L35" i="29"/>
  <c r="I35" i="29"/>
  <c r="X34" i="29"/>
  <c r="AK34" i="29" s="1"/>
  <c r="V34" i="29"/>
  <c r="U34" i="29"/>
  <c r="T34" i="29"/>
  <c r="S34" i="29"/>
  <c r="R34" i="29"/>
  <c r="Q34" i="29"/>
  <c r="P34" i="29"/>
  <c r="O34" i="29"/>
  <c r="N34" i="29"/>
  <c r="M34" i="29"/>
  <c r="L34" i="29"/>
  <c r="I34" i="29"/>
  <c r="AD33" i="29"/>
  <c r="X33" i="29"/>
  <c r="AK33" i="29" s="1"/>
  <c r="V33" i="29"/>
  <c r="U33" i="29"/>
  <c r="T33" i="29"/>
  <c r="S33" i="29"/>
  <c r="R33" i="29"/>
  <c r="Q33" i="29"/>
  <c r="P33" i="29"/>
  <c r="O33" i="29"/>
  <c r="N33" i="29"/>
  <c r="M33" i="29"/>
  <c r="L33" i="29"/>
  <c r="I33" i="29"/>
  <c r="V32" i="29"/>
  <c r="T32" i="29"/>
  <c r="N32" i="29"/>
  <c r="I32" i="29"/>
  <c r="V31" i="29"/>
  <c r="I31" i="29"/>
  <c r="H31" i="29"/>
  <c r="L31" i="29" s="1"/>
  <c r="V30" i="29"/>
  <c r="I30" i="29"/>
  <c r="H30" i="29"/>
  <c r="R30" i="29" s="1"/>
  <c r="V29" i="29"/>
  <c r="I29" i="29"/>
  <c r="H29" i="29"/>
  <c r="V28" i="29"/>
  <c r="I28" i="29"/>
  <c r="H28" i="29"/>
  <c r="V27" i="29"/>
  <c r="I27" i="29"/>
  <c r="H27" i="29"/>
  <c r="U27" i="29" s="1"/>
  <c r="V26" i="29"/>
  <c r="I26" i="29"/>
  <c r="H26" i="29"/>
  <c r="U26" i="29" s="1"/>
  <c r="V25" i="29"/>
  <c r="I25" i="29"/>
  <c r="H25" i="29"/>
  <c r="X25" i="29" s="1"/>
  <c r="V24" i="29"/>
  <c r="I24" i="29"/>
  <c r="H24" i="29"/>
  <c r="N24" i="29" s="1"/>
  <c r="V23" i="29"/>
  <c r="I23" i="29"/>
  <c r="H23" i="29"/>
  <c r="N23" i="29" s="1"/>
  <c r="V22" i="29"/>
  <c r="I22" i="29"/>
  <c r="H22" i="29"/>
  <c r="T22" i="29" s="1"/>
  <c r="V21" i="29"/>
  <c r="I21" i="29"/>
  <c r="H21" i="29"/>
  <c r="T21" i="29" s="1"/>
  <c r="V20" i="29"/>
  <c r="I20" i="29"/>
  <c r="H20" i="29"/>
  <c r="T20" i="29" s="1"/>
  <c r="V19" i="29"/>
  <c r="I19" i="29"/>
  <c r="H19" i="29"/>
  <c r="R19" i="29" s="1"/>
  <c r="V18" i="29"/>
  <c r="I18" i="29"/>
  <c r="H18" i="29"/>
  <c r="P18" i="29" s="1"/>
  <c r="V17" i="29"/>
  <c r="I17" i="29"/>
  <c r="H17" i="29"/>
  <c r="M17" i="29" s="1"/>
  <c r="V16" i="29"/>
  <c r="I16" i="29"/>
  <c r="H16" i="29"/>
  <c r="P16" i="29" s="1"/>
  <c r="V15" i="29"/>
  <c r="I15" i="29"/>
  <c r="H15" i="29"/>
  <c r="R15" i="29" s="1"/>
  <c r="V14" i="29"/>
  <c r="I14" i="29"/>
  <c r="H14" i="29"/>
  <c r="V13" i="29"/>
  <c r="I13" i="29"/>
  <c r="H13" i="29"/>
  <c r="S13" i="29" s="1"/>
  <c r="V12" i="29"/>
  <c r="I12" i="29"/>
  <c r="H12" i="29"/>
  <c r="U12" i="29" s="1"/>
  <c r="V11" i="29"/>
  <c r="I11" i="29"/>
  <c r="H11" i="29"/>
  <c r="T11" i="29" s="1"/>
  <c r="V10" i="29"/>
  <c r="S10" i="29"/>
  <c r="I10" i="29"/>
  <c r="H10" i="29"/>
  <c r="U10" i="29" s="1"/>
  <c r="V9" i="29"/>
  <c r="I9" i="29"/>
  <c r="H9" i="29"/>
  <c r="T9" i="29" s="1"/>
  <c r="V8" i="29"/>
  <c r="W40" i="29" s="1"/>
  <c r="I8" i="29"/>
  <c r="H8" i="29"/>
  <c r="X8" i="29" s="1"/>
  <c r="AK8" i="29" s="1"/>
  <c r="L2" i="29"/>
  <c r="O1" i="29"/>
  <c r="P1" i="29" s="1"/>
  <c r="E43" i="25" l="1"/>
  <c r="Y25" i="25"/>
  <c r="Z20" i="25"/>
  <c r="AA20" i="25" s="1"/>
  <c r="Y33" i="25"/>
  <c r="Z33" i="25" s="1"/>
  <c r="AA33" i="25" s="1"/>
  <c r="AB33" i="25" s="1"/>
  <c r="AC33" i="25" s="1"/>
  <c r="Y29" i="25"/>
  <c r="Z29" i="25" s="1"/>
  <c r="AA29" i="25" s="1"/>
  <c r="AB29" i="25" s="1"/>
  <c r="AC29" i="25" s="1"/>
  <c r="Y34" i="25"/>
  <c r="Z34" i="25" s="1"/>
  <c r="AA34" i="25" s="1"/>
  <c r="Y27" i="25"/>
  <c r="Z27" i="25" s="1"/>
  <c r="AA27" i="25" s="1"/>
  <c r="AB27" i="25" s="1"/>
  <c r="AC27" i="25" s="1"/>
  <c r="R26" i="25"/>
  <c r="W26" i="25"/>
  <c r="Y26" i="25" s="1"/>
  <c r="Z31" i="25"/>
  <c r="AA31" i="25" s="1"/>
  <c r="AB31" i="25" s="1"/>
  <c r="AC31" i="25" s="1"/>
  <c r="Z30" i="25"/>
  <c r="AA30" i="25" s="1"/>
  <c r="AB30" i="25" s="1"/>
  <c r="AC30" i="25" s="1"/>
  <c r="Z28" i="25"/>
  <c r="AA28" i="25" s="1"/>
  <c r="L24" i="25"/>
  <c r="W24" i="25" s="1"/>
  <c r="Y24" i="25" s="1"/>
  <c r="L18" i="25"/>
  <c r="O32" i="29"/>
  <c r="U32" i="29"/>
  <c r="P32" i="29"/>
  <c r="Q32" i="29"/>
  <c r="X32" i="29"/>
  <c r="AD32" i="29" s="1"/>
  <c r="L32" i="29"/>
  <c r="R32" i="29"/>
  <c r="M32" i="29"/>
  <c r="U22" i="29"/>
  <c r="M9" i="29"/>
  <c r="S9" i="29"/>
  <c r="T30" i="29"/>
  <c r="L27" i="29"/>
  <c r="R27" i="29"/>
  <c r="J10" i="29"/>
  <c r="L21" i="29"/>
  <c r="M21" i="29"/>
  <c r="X21" i="29"/>
  <c r="U24" i="29"/>
  <c r="Q27" i="29"/>
  <c r="N31" i="29"/>
  <c r="O25" i="29"/>
  <c r="O23" i="29"/>
  <c r="P25" i="29"/>
  <c r="R31" i="29"/>
  <c r="T23" i="29"/>
  <c r="O24" i="29"/>
  <c r="Q24" i="29"/>
  <c r="U20" i="29"/>
  <c r="R10" i="29"/>
  <c r="S17" i="29"/>
  <c r="O9" i="29"/>
  <c r="AD34" i="29"/>
  <c r="AD42" i="29"/>
  <c r="AD36" i="29"/>
  <c r="AK44" i="29"/>
  <c r="AK41" i="29"/>
  <c r="AK38" i="29"/>
  <c r="AD45" i="29"/>
  <c r="AD39" i="29"/>
  <c r="AD46" i="29"/>
  <c r="P9" i="29"/>
  <c r="L10" i="29"/>
  <c r="M11" i="29"/>
  <c r="Q12" i="29"/>
  <c r="O11" i="29"/>
  <c r="P11" i="29"/>
  <c r="Q20" i="29"/>
  <c r="AK25" i="29"/>
  <c r="AD25" i="29"/>
  <c r="U30" i="29"/>
  <c r="N21" i="29"/>
  <c r="Q25" i="29"/>
  <c r="L26" i="29"/>
  <c r="T27" i="29"/>
  <c r="L30" i="29"/>
  <c r="T31" i="29"/>
  <c r="X26" i="29"/>
  <c r="AD26" i="29" s="1"/>
  <c r="R21" i="29"/>
  <c r="O22" i="29"/>
  <c r="Q26" i="29"/>
  <c r="N30" i="29"/>
  <c r="U31" i="29"/>
  <c r="P22" i="29"/>
  <c r="L23" i="29"/>
  <c r="R26" i="29"/>
  <c r="X27" i="29"/>
  <c r="O30" i="29"/>
  <c r="Q22" i="29"/>
  <c r="S26" i="29"/>
  <c r="P27" i="29"/>
  <c r="W31" i="29"/>
  <c r="AD8" i="29"/>
  <c r="S12" i="29"/>
  <c r="M13" i="29"/>
  <c r="L15" i="29"/>
  <c r="W17" i="29"/>
  <c r="L19" i="29"/>
  <c r="S15" i="29"/>
  <c r="W8" i="29"/>
  <c r="W13" i="29"/>
  <c r="T15" i="29"/>
  <c r="X19" i="29"/>
  <c r="AK19" i="29" s="1"/>
  <c r="K8" i="29"/>
  <c r="X13" i="29"/>
  <c r="AK13" i="29" s="1"/>
  <c r="M8" i="29"/>
  <c r="U9" i="29"/>
  <c r="M10" i="29"/>
  <c r="L12" i="29"/>
  <c r="P13" i="29"/>
  <c r="M15" i="29"/>
  <c r="W15" i="29"/>
  <c r="M19" i="29"/>
  <c r="W24" i="29"/>
  <c r="W26" i="29"/>
  <c r="W10" i="29"/>
  <c r="Q8" i="29"/>
  <c r="P10" i="29"/>
  <c r="X10" i="29"/>
  <c r="AD10" i="29" s="1"/>
  <c r="S11" i="29"/>
  <c r="M12" i="29"/>
  <c r="W12" i="29"/>
  <c r="Q13" i="29"/>
  <c r="N15" i="29"/>
  <c r="N17" i="29"/>
  <c r="N19" i="29"/>
  <c r="O20" i="29"/>
  <c r="W30" i="29"/>
  <c r="R12" i="29"/>
  <c r="S8" i="29"/>
  <c r="Q10" i="29"/>
  <c r="U11" i="29"/>
  <c r="P12" i="29"/>
  <c r="X12" i="29"/>
  <c r="AD12" i="29" s="1"/>
  <c r="T13" i="29"/>
  <c r="R17" i="29"/>
  <c r="T19" i="29"/>
  <c r="P20" i="29"/>
  <c r="W34" i="29"/>
  <c r="AC34" i="29" s="1"/>
  <c r="W37" i="29"/>
  <c r="AC37" i="29" s="1"/>
  <c r="S16" i="29"/>
  <c r="M16" i="29"/>
  <c r="X16" i="29"/>
  <c r="R16" i="29"/>
  <c r="L16" i="29"/>
  <c r="Q16" i="29"/>
  <c r="W16" i="29"/>
  <c r="O16" i="29"/>
  <c r="N16" i="29"/>
  <c r="U16" i="29"/>
  <c r="T16" i="29"/>
  <c r="K16" i="29"/>
  <c r="J16" i="29"/>
  <c r="X14" i="29"/>
  <c r="R14" i="29"/>
  <c r="L14" i="29"/>
  <c r="W14" i="29"/>
  <c r="P14" i="29"/>
  <c r="U14" i="29"/>
  <c r="N14" i="29"/>
  <c r="T14" i="29"/>
  <c r="M14" i="29"/>
  <c r="K14" i="29"/>
  <c r="Q14" i="29"/>
  <c r="S14" i="29"/>
  <c r="J14" i="29"/>
  <c r="J52" i="29"/>
  <c r="AA52" i="29" s="1"/>
  <c r="AB52" i="29" s="1"/>
  <c r="J49" i="29"/>
  <c r="AA49" i="29" s="1"/>
  <c r="J46" i="29"/>
  <c r="AA46" i="29" s="1"/>
  <c r="AB46" i="29" s="1"/>
  <c r="J43" i="29"/>
  <c r="AA43" i="29" s="1"/>
  <c r="AB43" i="29" s="1"/>
  <c r="J40" i="29"/>
  <c r="AA40" i="29" s="1"/>
  <c r="J37" i="29"/>
  <c r="AA37" i="29" s="1"/>
  <c r="AB37" i="29" s="1"/>
  <c r="J34" i="29"/>
  <c r="AA34" i="29" s="1"/>
  <c r="AB34" i="29" s="1"/>
  <c r="K51" i="29"/>
  <c r="Z51" i="29" s="1"/>
  <c r="AI51" i="29" s="1"/>
  <c r="K48" i="29"/>
  <c r="Z48" i="29" s="1"/>
  <c r="AI48" i="29" s="1"/>
  <c r="K45" i="29"/>
  <c r="Z45" i="29" s="1"/>
  <c r="AI45" i="29" s="1"/>
  <c r="K42" i="29"/>
  <c r="Z42" i="29" s="1"/>
  <c r="AI42" i="29" s="1"/>
  <c r="K39" i="29"/>
  <c r="Z39" i="29" s="1"/>
  <c r="AI39" i="29" s="1"/>
  <c r="J51" i="29"/>
  <c r="AA51" i="29" s="1"/>
  <c r="AB51" i="29" s="1"/>
  <c r="J48" i="29"/>
  <c r="AA48" i="29" s="1"/>
  <c r="J45" i="29"/>
  <c r="AA45" i="29" s="1"/>
  <c r="AB45" i="29" s="1"/>
  <c r="J42" i="29"/>
  <c r="AA42" i="29" s="1"/>
  <c r="AB42" i="29" s="1"/>
  <c r="J39" i="29"/>
  <c r="AA39" i="29" s="1"/>
  <c r="AB39" i="29" s="1"/>
  <c r="K50" i="29"/>
  <c r="K47" i="29"/>
  <c r="Z47" i="29" s="1"/>
  <c r="AI47" i="29" s="1"/>
  <c r="K44" i="29"/>
  <c r="K41" i="29"/>
  <c r="K38" i="29"/>
  <c r="K35" i="29"/>
  <c r="Z35" i="29" s="1"/>
  <c r="AI35" i="29" s="1"/>
  <c r="K32" i="29"/>
  <c r="K43" i="29"/>
  <c r="J41" i="29"/>
  <c r="AA41" i="29" s="1"/>
  <c r="AB41" i="29" s="1"/>
  <c r="K46" i="29"/>
  <c r="Z46" i="29" s="1"/>
  <c r="AI46" i="29" s="1"/>
  <c r="J44" i="29"/>
  <c r="AA44" i="29" s="1"/>
  <c r="AB44" i="29" s="1"/>
  <c r="J35" i="29"/>
  <c r="AA35" i="29" s="1"/>
  <c r="AB35" i="29" s="1"/>
  <c r="K30" i="29"/>
  <c r="K49" i="29"/>
  <c r="Z49" i="29" s="1"/>
  <c r="AI49" i="29" s="1"/>
  <c r="J47" i="29"/>
  <c r="AA47" i="29" s="1"/>
  <c r="K33" i="29"/>
  <c r="Z33" i="29" s="1"/>
  <c r="AI33" i="29" s="1"/>
  <c r="K52" i="29"/>
  <c r="Z52" i="29" s="1"/>
  <c r="AI52" i="29" s="1"/>
  <c r="J50" i="29"/>
  <c r="AA50" i="29" s="1"/>
  <c r="AB50" i="29" s="1"/>
  <c r="K36" i="29"/>
  <c r="Z36" i="29" s="1"/>
  <c r="AI36" i="29" s="1"/>
  <c r="J33" i="29"/>
  <c r="AA33" i="29" s="1"/>
  <c r="AB33" i="29" s="1"/>
  <c r="K40" i="29"/>
  <c r="K37" i="29"/>
  <c r="Z37" i="29" s="1"/>
  <c r="AI37" i="29" s="1"/>
  <c r="K26" i="29"/>
  <c r="J25" i="29"/>
  <c r="K15" i="29"/>
  <c r="K12" i="29"/>
  <c r="K10" i="29"/>
  <c r="K22" i="29"/>
  <c r="K20" i="29"/>
  <c r="J38" i="29"/>
  <c r="AA38" i="29" s="1"/>
  <c r="AB38" i="29" s="1"/>
  <c r="J22" i="29"/>
  <c r="J20" i="29"/>
  <c r="K31" i="29"/>
  <c r="K27" i="29"/>
  <c r="K34" i="29"/>
  <c r="Z34" i="29" s="1"/>
  <c r="AI34" i="29" s="1"/>
  <c r="J32" i="29"/>
  <c r="J13" i="29"/>
  <c r="J11" i="29"/>
  <c r="J9" i="29"/>
  <c r="J36" i="29"/>
  <c r="AA36" i="29" s="1"/>
  <c r="J27" i="29"/>
  <c r="K17" i="29"/>
  <c r="J12" i="29"/>
  <c r="O14" i="29"/>
  <c r="P29" i="29"/>
  <c r="J29" i="29"/>
  <c r="S29" i="29"/>
  <c r="M29" i="29"/>
  <c r="U29" i="29"/>
  <c r="L29" i="29"/>
  <c r="T29" i="29"/>
  <c r="K29" i="29"/>
  <c r="R29" i="29"/>
  <c r="N8" i="29"/>
  <c r="T18" i="29"/>
  <c r="S18" i="29"/>
  <c r="M18" i="29"/>
  <c r="X18" i="29"/>
  <c r="R18" i="29"/>
  <c r="L18" i="29"/>
  <c r="W29" i="29"/>
  <c r="T8" i="29"/>
  <c r="Q18" i="29"/>
  <c r="AD21" i="29"/>
  <c r="AK21" i="29"/>
  <c r="S28" i="29"/>
  <c r="M28" i="29"/>
  <c r="P28" i="29"/>
  <c r="J28" i="29"/>
  <c r="N28" i="29"/>
  <c r="U28" i="29"/>
  <c r="L28" i="29"/>
  <c r="T28" i="29"/>
  <c r="K28" i="29"/>
  <c r="W28" i="29"/>
  <c r="X29" i="29"/>
  <c r="O8" i="29"/>
  <c r="U8" i="29"/>
  <c r="K9" i="29"/>
  <c r="Q9" i="29"/>
  <c r="W9" i="29"/>
  <c r="N10" i="29"/>
  <c r="AA10" i="29" s="1"/>
  <c r="AB10" i="29" s="1"/>
  <c r="T10" i="29"/>
  <c r="K11" i="29"/>
  <c r="Q11" i="29"/>
  <c r="W11" i="29"/>
  <c r="N12" i="29"/>
  <c r="T12" i="29"/>
  <c r="K13" i="29"/>
  <c r="R13" i="29"/>
  <c r="L17" i="29"/>
  <c r="T17" i="29"/>
  <c r="J18" i="29"/>
  <c r="U18" i="29"/>
  <c r="X28" i="29"/>
  <c r="N29" i="29"/>
  <c r="Z38" i="29"/>
  <c r="AI38" i="29" s="1"/>
  <c r="AB48" i="29"/>
  <c r="J8" i="29"/>
  <c r="P8" i="29"/>
  <c r="W51" i="29"/>
  <c r="W48" i="29"/>
  <c r="W45" i="29"/>
  <c r="W42" i="29"/>
  <c r="W39" i="29"/>
  <c r="W36" i="29"/>
  <c r="W50" i="29"/>
  <c r="W47" i="29"/>
  <c r="W44" i="29"/>
  <c r="W41" i="29"/>
  <c r="W38" i="29"/>
  <c r="W35" i="29"/>
  <c r="W32" i="29"/>
  <c r="W43" i="29"/>
  <c r="W46" i="29"/>
  <c r="W27" i="29"/>
  <c r="W49" i="29"/>
  <c r="W33" i="29"/>
  <c r="W52" i="29"/>
  <c r="L9" i="29"/>
  <c r="R9" i="29"/>
  <c r="X9" i="29"/>
  <c r="O10" i="29"/>
  <c r="L11" i="29"/>
  <c r="R11" i="29"/>
  <c r="X11" i="29"/>
  <c r="O12" i="29"/>
  <c r="L13" i="29"/>
  <c r="P15" i="29"/>
  <c r="J15" i="29"/>
  <c r="U15" i="29"/>
  <c r="O15" i="29"/>
  <c r="Q15" i="29"/>
  <c r="X15" i="29"/>
  <c r="K18" i="29"/>
  <c r="S25" i="29"/>
  <c r="M25" i="29"/>
  <c r="U25" i="29"/>
  <c r="N25" i="29"/>
  <c r="T25" i="29"/>
  <c r="L25" i="29"/>
  <c r="R25" i="29"/>
  <c r="K25" i="29"/>
  <c r="O28" i="29"/>
  <c r="O29" i="29"/>
  <c r="AD43" i="29"/>
  <c r="N18" i="29"/>
  <c r="W18" i="29"/>
  <c r="W19" i="29"/>
  <c r="Q19" i="29"/>
  <c r="K19" i="29"/>
  <c r="P19" i="29"/>
  <c r="J19" i="29"/>
  <c r="U19" i="29"/>
  <c r="O19" i="29"/>
  <c r="S19" i="29"/>
  <c r="W20" i="29"/>
  <c r="W21" i="29"/>
  <c r="Q21" i="29"/>
  <c r="K21" i="29"/>
  <c r="P21" i="29"/>
  <c r="J21" i="29"/>
  <c r="U21" i="29"/>
  <c r="O21" i="29"/>
  <c r="S21" i="29"/>
  <c r="W22" i="29"/>
  <c r="S23" i="29"/>
  <c r="M23" i="29"/>
  <c r="R23" i="29"/>
  <c r="K23" i="29"/>
  <c r="X23" i="29"/>
  <c r="Q23" i="29"/>
  <c r="J23" i="29"/>
  <c r="W23" i="29"/>
  <c r="P23" i="29"/>
  <c r="U23" i="29"/>
  <c r="P24" i="29"/>
  <c r="J24" i="29"/>
  <c r="AA24" i="29" s="1"/>
  <c r="AB24" i="29" s="1"/>
  <c r="T24" i="29"/>
  <c r="M24" i="29"/>
  <c r="S24" i="29"/>
  <c r="L24" i="29"/>
  <c r="X24" i="29"/>
  <c r="R24" i="29"/>
  <c r="K24" i="29"/>
  <c r="W25" i="29"/>
  <c r="Q28" i="29"/>
  <c r="Q29" i="29"/>
  <c r="AK32" i="29"/>
  <c r="AB36" i="29"/>
  <c r="L8" i="29"/>
  <c r="R8" i="29"/>
  <c r="N9" i="29"/>
  <c r="N11" i="29"/>
  <c r="U13" i="29"/>
  <c r="O13" i="29"/>
  <c r="N13" i="29"/>
  <c r="P17" i="29"/>
  <c r="J17" i="29"/>
  <c r="U17" i="29"/>
  <c r="O17" i="29"/>
  <c r="Q17" i="29"/>
  <c r="X17" i="29"/>
  <c r="O18" i="29"/>
  <c r="R28" i="29"/>
  <c r="AC40" i="29"/>
  <c r="AJ40" i="29"/>
  <c r="AB47" i="29"/>
  <c r="Z50" i="29"/>
  <c r="AI50" i="29" s="1"/>
  <c r="AK37" i="29"/>
  <c r="AD37" i="29"/>
  <c r="AK40" i="29"/>
  <c r="AD40" i="29"/>
  <c r="AB49" i="29"/>
  <c r="L20" i="29"/>
  <c r="R20" i="29"/>
  <c r="X20" i="29"/>
  <c r="L22" i="29"/>
  <c r="R22" i="29"/>
  <c r="X22" i="29"/>
  <c r="M26" i="29"/>
  <c r="T26" i="29"/>
  <c r="N27" i="29"/>
  <c r="S30" i="29"/>
  <c r="M30" i="29"/>
  <c r="P30" i="29"/>
  <c r="J30" i="29"/>
  <c r="Q30" i="29"/>
  <c r="X30" i="29"/>
  <c r="O31" i="29"/>
  <c r="M20" i="29"/>
  <c r="S20" i="29"/>
  <c r="M22" i="29"/>
  <c r="S22" i="29"/>
  <c r="N26" i="29"/>
  <c r="S27" i="29"/>
  <c r="M27" i="29"/>
  <c r="O27" i="29"/>
  <c r="P31" i="29"/>
  <c r="J31" i="29"/>
  <c r="S31" i="29"/>
  <c r="M31" i="29"/>
  <c r="Q31" i="29"/>
  <c r="X31" i="29"/>
  <c r="Z44" i="29"/>
  <c r="AI44" i="29" s="1"/>
  <c r="N20" i="29"/>
  <c r="N22" i="29"/>
  <c r="P26" i="29"/>
  <c r="J26" i="29"/>
  <c r="O26" i="29"/>
  <c r="AK35" i="29"/>
  <c r="AB40" i="29"/>
  <c r="Z41" i="29"/>
  <c r="AI41" i="29" s="1"/>
  <c r="Z43" i="29"/>
  <c r="AI43" i="29" s="1"/>
  <c r="Z40" i="29"/>
  <c r="AI40" i="29" s="1"/>
  <c r="L43" i="25" l="1"/>
  <c r="AB34" i="25"/>
  <c r="AC34" i="25" s="1"/>
  <c r="AB20" i="25"/>
  <c r="AC20" i="25" s="1"/>
  <c r="Z25" i="25"/>
  <c r="AA25" i="25" s="1"/>
  <c r="AB25" i="25" s="1"/>
  <c r="AC25" i="25" s="1"/>
  <c r="Z24" i="25"/>
  <c r="AA24" i="25" s="1"/>
  <c r="AB24" i="25" s="1"/>
  <c r="AC24" i="25" s="1"/>
  <c r="AB28" i="25"/>
  <c r="AC28" i="25" s="1"/>
  <c r="Z26" i="25"/>
  <c r="AA26" i="25" s="1"/>
  <c r="Z32" i="29"/>
  <c r="AI32" i="29" s="1"/>
  <c r="AA32" i="29"/>
  <c r="AB32" i="29" s="1"/>
  <c r="AJ24" i="29"/>
  <c r="AJ37" i="29"/>
  <c r="Z25" i="29"/>
  <c r="AI25" i="29" s="1"/>
  <c r="AC31" i="29"/>
  <c r="Z28" i="29"/>
  <c r="AI28" i="29" s="1"/>
  <c r="AD13" i="29"/>
  <c r="AK10" i="29"/>
  <c r="AC15" i="29"/>
  <c r="AA21" i="29"/>
  <c r="AK12" i="29"/>
  <c r="Z27" i="29"/>
  <c r="AI27" i="29" s="1"/>
  <c r="AJ8" i="29"/>
  <c r="AA16" i="29"/>
  <c r="AB16" i="29" s="1"/>
  <c r="AJ13" i="29"/>
  <c r="Z20" i="29"/>
  <c r="AI20" i="29" s="1"/>
  <c r="AD19" i="29"/>
  <c r="Z9" i="29"/>
  <c r="AI9" i="29" s="1"/>
  <c r="AC10" i="29"/>
  <c r="AJ15" i="29"/>
  <c r="AJ34" i="29"/>
  <c r="AC12" i="29"/>
  <c r="Z8" i="29"/>
  <c r="AI8" i="29" s="1"/>
  <c r="AA26" i="29"/>
  <c r="AB26" i="29" s="1"/>
  <c r="Z24" i="29"/>
  <c r="AI24" i="29" s="1"/>
  <c r="Z23" i="29"/>
  <c r="AI23" i="29" s="1"/>
  <c r="AA23" i="29"/>
  <c r="AB23" i="29" s="1"/>
  <c r="AA22" i="29"/>
  <c r="AB22" i="29" s="1"/>
  <c r="Z30" i="29"/>
  <c r="AI30" i="29" s="1"/>
  <c r="AC24" i="29"/>
  <c r="AJ31" i="29"/>
  <c r="Z29" i="29"/>
  <c r="AI29" i="29" s="1"/>
  <c r="Z31" i="29"/>
  <c r="AI31" i="29" s="1"/>
  <c r="Z22" i="29"/>
  <c r="AI22" i="29" s="1"/>
  <c r="AK26" i="29"/>
  <c r="AD27" i="29"/>
  <c r="AK27" i="29"/>
  <c r="Z18" i="29"/>
  <c r="AI18" i="29" s="1"/>
  <c r="AA20" i="29"/>
  <c r="AB20" i="29" s="1"/>
  <c r="AA8" i="29"/>
  <c r="AB8" i="29" s="1"/>
  <c r="AA13" i="29"/>
  <c r="AB13" i="29" s="1"/>
  <c r="AE37" i="29"/>
  <c r="AA15" i="29"/>
  <c r="AB15" i="29" s="1"/>
  <c r="Z12" i="29"/>
  <c r="AI12" i="29" s="1"/>
  <c r="AC26" i="29"/>
  <c r="AC8" i="29"/>
  <c r="Z16" i="29"/>
  <c r="AI16" i="29" s="1"/>
  <c r="Z11" i="29"/>
  <c r="AI11" i="29" s="1"/>
  <c r="AE34" i="29"/>
  <c r="AC17" i="29"/>
  <c r="AC13" i="29"/>
  <c r="AC30" i="29"/>
  <c r="AJ30" i="29"/>
  <c r="AJ33" i="29"/>
  <c r="AC33" i="29"/>
  <c r="AE33" i="29" s="1"/>
  <c r="AA11" i="29"/>
  <c r="AB11" i="29" s="1"/>
  <c r="AJ16" i="29"/>
  <c r="AC16" i="29"/>
  <c r="AK30" i="29"/>
  <c r="AD30" i="29"/>
  <c r="Z15" i="29"/>
  <c r="AI15" i="29" s="1"/>
  <c r="AJ22" i="29"/>
  <c r="AC22" i="29"/>
  <c r="AJ18" i="29"/>
  <c r="AC18" i="29"/>
  <c r="AK15" i="29"/>
  <c r="AD15" i="29"/>
  <c r="AD9" i="29"/>
  <c r="AK9" i="29"/>
  <c r="AJ41" i="29"/>
  <c r="AC41" i="29"/>
  <c r="AC42" i="29"/>
  <c r="AE42" i="29" s="1"/>
  <c r="AJ42" i="29"/>
  <c r="AA25" i="29"/>
  <c r="AB25" i="29" s="1"/>
  <c r="AA30" i="29"/>
  <c r="AB30" i="29" s="1"/>
  <c r="AK20" i="29"/>
  <c r="AD20" i="29"/>
  <c r="AK17" i="29"/>
  <c r="AD17" i="29"/>
  <c r="AK23" i="29"/>
  <c r="AD23" i="29"/>
  <c r="AA19" i="29"/>
  <c r="AB19" i="29" s="1"/>
  <c r="AJ44" i="29"/>
  <c r="AC44" i="29"/>
  <c r="AE44" i="29" s="1"/>
  <c r="AC45" i="29"/>
  <c r="AE45" i="29" s="1"/>
  <c r="AJ45" i="29"/>
  <c r="AJ10" i="29"/>
  <c r="AJ26" i="29"/>
  <c r="AC21" i="29"/>
  <c r="AJ21" i="29"/>
  <c r="AD11" i="29"/>
  <c r="AK11" i="29"/>
  <c r="AC43" i="29"/>
  <c r="AE43" i="29" s="1"/>
  <c r="AJ43" i="29"/>
  <c r="AJ47" i="29"/>
  <c r="AC47" i="29"/>
  <c r="AE47" i="29" s="1"/>
  <c r="AC48" i="29"/>
  <c r="AE48" i="29" s="1"/>
  <c r="AJ48" i="29"/>
  <c r="AA18" i="29"/>
  <c r="AB18" i="29" s="1"/>
  <c r="AD29" i="29"/>
  <c r="AK29" i="29"/>
  <c r="AK18" i="29"/>
  <c r="AD18" i="29"/>
  <c r="AJ12" i="29"/>
  <c r="AJ17" i="29"/>
  <c r="AK16" i="29"/>
  <c r="AD16" i="29"/>
  <c r="AJ36" i="29"/>
  <c r="AC36" i="29"/>
  <c r="AE36" i="29" s="1"/>
  <c r="AJ11" i="29"/>
  <c r="AC11" i="29"/>
  <c r="AA17" i="29"/>
  <c r="AB17" i="29" s="1"/>
  <c r="AC49" i="29"/>
  <c r="AE49" i="29" s="1"/>
  <c r="AJ49" i="29"/>
  <c r="AJ38" i="29"/>
  <c r="AC38" i="29"/>
  <c r="AE38" i="29" s="1"/>
  <c r="AE40" i="29"/>
  <c r="AL40" i="29" s="1"/>
  <c r="AC27" i="29"/>
  <c r="AJ27" i="29"/>
  <c r="Z17" i="29"/>
  <c r="AI17" i="29" s="1"/>
  <c r="AA31" i="29"/>
  <c r="AB31" i="29" s="1"/>
  <c r="AK24" i="29"/>
  <c r="AD24" i="29"/>
  <c r="AC46" i="29"/>
  <c r="AE46" i="29" s="1"/>
  <c r="AJ46" i="29"/>
  <c r="Z13" i="29"/>
  <c r="AI13" i="29" s="1"/>
  <c r="AA27" i="29"/>
  <c r="AB27" i="29" s="1"/>
  <c r="Z26" i="29"/>
  <c r="AI26" i="29" s="1"/>
  <c r="AK31" i="29"/>
  <c r="AD31" i="29"/>
  <c r="AC25" i="29"/>
  <c r="AJ25" i="29"/>
  <c r="AB21" i="29"/>
  <c r="AJ20" i="29"/>
  <c r="AC20" i="29"/>
  <c r="Z19" i="29"/>
  <c r="AI19" i="29" s="1"/>
  <c r="AC52" i="29"/>
  <c r="AE52" i="29" s="1"/>
  <c r="AJ52" i="29"/>
  <c r="AJ32" i="29"/>
  <c r="AC32" i="29"/>
  <c r="AJ50" i="29"/>
  <c r="AC50" i="29"/>
  <c r="AE50" i="29" s="1"/>
  <c r="AC51" i="29"/>
  <c r="AE51" i="29" s="1"/>
  <c r="AJ51" i="29"/>
  <c r="AD28" i="29"/>
  <c r="AK28" i="29"/>
  <c r="AJ9" i="29"/>
  <c r="AC9" i="29"/>
  <c r="AC28" i="29"/>
  <c r="AJ28" i="29"/>
  <c r="AA28" i="29"/>
  <c r="AB28" i="29" s="1"/>
  <c r="AA29" i="29"/>
  <c r="AB29" i="29" s="1"/>
  <c r="AA12" i="29"/>
  <c r="AB12" i="29" s="1"/>
  <c r="AA9" i="29"/>
  <c r="AB9" i="29" s="1"/>
  <c r="Z10" i="29"/>
  <c r="AI10" i="29" s="1"/>
  <c r="AE41" i="29"/>
  <c r="Z14" i="29"/>
  <c r="AI14" i="29" s="1"/>
  <c r="AC14" i="29"/>
  <c r="AJ14" i="29"/>
  <c r="AJ23" i="29"/>
  <c r="AC23" i="29"/>
  <c r="AK22" i="29"/>
  <c r="AD22" i="29"/>
  <c r="AJ35" i="29"/>
  <c r="AC35" i="29"/>
  <c r="AE35" i="29" s="1"/>
  <c r="AC19" i="29"/>
  <c r="AJ19" i="29"/>
  <c r="AC39" i="29"/>
  <c r="AE39" i="29" s="1"/>
  <c r="AJ39" i="29"/>
  <c r="AC29" i="29"/>
  <c r="AJ29" i="29"/>
  <c r="Z21" i="29"/>
  <c r="AI21" i="29" s="1"/>
  <c r="AA14" i="29"/>
  <c r="AB14" i="29" s="1"/>
  <c r="AK14" i="29"/>
  <c r="AD14" i="29"/>
  <c r="Q34" i="25"/>
  <c r="R34" i="25" s="1"/>
  <c r="AB26" i="25" l="1"/>
  <c r="AC26" i="25" s="1"/>
  <c r="AE32" i="29"/>
  <c r="AL32" i="29" s="1"/>
  <c r="AL37" i="29"/>
  <c r="AL46" i="29"/>
  <c r="AE8" i="29"/>
  <c r="AL8" i="29" s="1"/>
  <c r="AL47" i="29"/>
  <c r="AL48" i="29"/>
  <c r="AL34" i="29"/>
  <c r="AE20" i="29"/>
  <c r="AL20" i="29" s="1"/>
  <c r="AE15" i="29"/>
  <c r="AE31" i="29"/>
  <c r="AL31" i="29" s="1"/>
  <c r="AL45" i="29"/>
  <c r="AE22" i="29"/>
  <c r="AL22" i="29" s="1"/>
  <c r="AE25" i="29"/>
  <c r="AL25" i="29" s="1"/>
  <c r="AL44" i="29"/>
  <c r="AL42" i="29"/>
  <c r="AL41" i="29"/>
  <c r="AE28" i="29"/>
  <c r="AL28" i="29" s="1"/>
  <c r="AN8" i="29"/>
  <c r="AE13" i="29"/>
  <c r="AL13" i="29" s="1"/>
  <c r="AE12" i="29"/>
  <c r="AL12" i="29" s="1"/>
  <c r="AE24" i="29"/>
  <c r="AL24" i="29" s="1"/>
  <c r="AL49" i="29"/>
  <c r="AL43" i="29"/>
  <c r="AE14" i="29"/>
  <c r="AL14" i="29" s="1"/>
  <c r="AL51" i="29"/>
  <c r="AE29" i="29"/>
  <c r="AL29" i="29" s="1"/>
  <c r="AE27" i="29"/>
  <c r="AL27" i="29" s="1"/>
  <c r="AL33" i="29"/>
  <c r="AL38" i="29"/>
  <c r="AL52" i="29"/>
  <c r="AL36" i="29"/>
  <c r="AL35" i="29"/>
  <c r="AE9" i="29"/>
  <c r="AL9" i="29" s="1"/>
  <c r="AE19" i="29"/>
  <c r="AL19" i="29" s="1"/>
  <c r="AL39" i="29"/>
  <c r="AE17" i="29"/>
  <c r="AL17" i="29" s="1"/>
  <c r="AE30" i="29"/>
  <c r="AL30" i="29" s="1"/>
  <c r="AL50" i="29"/>
  <c r="AE18" i="29"/>
  <c r="AL18" i="29" s="1"/>
  <c r="AE11" i="29"/>
  <c r="AL11" i="29" s="1"/>
  <c r="AE21" i="29"/>
  <c r="AL21" i="29" s="1"/>
  <c r="AE26" i="29"/>
  <c r="AL26" i="29" s="1"/>
  <c r="AE10" i="29"/>
  <c r="AL10" i="29" s="1"/>
  <c r="AE23" i="29"/>
  <c r="AL23" i="29" s="1"/>
  <c r="AE16" i="29"/>
  <c r="AL16" i="29" s="1"/>
  <c r="AL15" i="29"/>
  <c r="S45" i="25"/>
  <c r="Q33" i="25"/>
  <c r="R33" i="25" l="1"/>
  <c r="Q42" i="27" l="1"/>
  <c r="R42" i="27" l="1"/>
  <c r="S42" i="27" s="1"/>
  <c r="T42" i="27" s="1"/>
  <c r="Q31" i="25" l="1"/>
  <c r="O45" i="27"/>
  <c r="R31" i="25" l="1"/>
  <c r="Z24" i="26" l="1"/>
  <c r="N18" i="26" l="1"/>
  <c r="Y18" i="26" s="1"/>
  <c r="X18" i="26" l="1"/>
  <c r="T18" i="26"/>
  <c r="U18" i="26" s="1"/>
  <c r="P22" i="27" l="1"/>
  <c r="AA18" i="26"/>
  <c r="O19" i="27"/>
  <c r="AB18" i="26" l="1"/>
  <c r="AC18" i="26" s="1"/>
  <c r="A10" i="26"/>
  <c r="AD18" i="26" l="1"/>
  <c r="AE18" i="26" s="1"/>
  <c r="C42" i="27" l="1"/>
  <c r="D42" i="27" s="1"/>
  <c r="E42" i="27" l="1"/>
  <c r="F42" i="27" s="1"/>
  <c r="G42" i="27" s="1"/>
  <c r="Q30" i="25" l="1"/>
  <c r="R30" i="25" l="1"/>
  <c r="Q21" i="27" l="1"/>
  <c r="R21" i="27" s="1"/>
  <c r="Q29" i="25" l="1"/>
  <c r="R29" i="25" l="1"/>
  <c r="Q28" i="25" l="1"/>
  <c r="P44" i="27" l="1"/>
  <c r="Q44" i="27" s="1"/>
  <c r="R44" i="27" s="1"/>
  <c r="T17" i="26"/>
  <c r="N17" i="26"/>
  <c r="Y17" i="26" s="1"/>
  <c r="Q27" i="25"/>
  <c r="X17" i="26" l="1"/>
  <c r="R28" i="25"/>
  <c r="S44" i="27"/>
  <c r="T44" i="27" s="1"/>
  <c r="U17" i="26"/>
  <c r="P18" i="27" l="1"/>
  <c r="AA17" i="26"/>
  <c r="R27" i="25"/>
  <c r="AB17" i="26" l="1"/>
  <c r="AC17" i="26" s="1"/>
  <c r="Q24" i="27"/>
  <c r="B43" i="27"/>
  <c r="B25" i="18" s="1"/>
  <c r="AD17" i="26" l="1"/>
  <c r="AE17" i="26" s="1"/>
  <c r="D8" i="18"/>
  <c r="Q25" i="25"/>
  <c r="E8" i="18" l="1"/>
  <c r="D27" i="27"/>
  <c r="E27" i="27" s="1"/>
  <c r="F27" i="27" s="1"/>
  <c r="G27" i="27" s="1"/>
  <c r="D28" i="27"/>
  <c r="E28" i="27" s="1"/>
  <c r="F28" i="27" s="1"/>
  <c r="G28" i="27" s="1"/>
  <c r="F8" i="18" l="1"/>
  <c r="R25" i="25"/>
  <c r="Q24" i="25"/>
  <c r="G8" i="18" l="1"/>
  <c r="R24" i="25" l="1"/>
  <c r="D25" i="27" l="1"/>
  <c r="E25" i="27" s="1"/>
  <c r="F25" i="27" l="1"/>
  <c r="G25" i="27" s="1"/>
  <c r="T15" i="26"/>
  <c r="T16" i="26"/>
  <c r="Q16" i="25"/>
  <c r="Q17" i="25"/>
  <c r="Q18" i="25"/>
  <c r="Q19" i="25"/>
  <c r="Q20" i="25"/>
  <c r="Q22" i="25"/>
  <c r="R22" i="25" s="1"/>
  <c r="Q23" i="25"/>
  <c r="Q43" i="25" l="1"/>
  <c r="T22" i="26"/>
  <c r="D29" i="27" l="1"/>
  <c r="E29" i="27" s="1"/>
  <c r="F29" i="27" l="1"/>
  <c r="G29" i="27"/>
  <c r="D26" i="27"/>
  <c r="E26" i="27" s="1"/>
  <c r="Q20" i="27"/>
  <c r="R20" i="27" s="1"/>
  <c r="S20" i="27" s="1"/>
  <c r="F26" i="27" l="1"/>
  <c r="G26" i="27" s="1"/>
  <c r="W23" i="25"/>
  <c r="V23" i="25" l="1"/>
  <c r="Y23" i="25" s="1"/>
  <c r="R23" i="25"/>
  <c r="Z23" i="25" l="1"/>
  <c r="AA23" i="25" s="1"/>
  <c r="AB23" i="25" l="1"/>
  <c r="AC23" i="25" s="1"/>
  <c r="N16" i="26"/>
  <c r="Y16" i="26" s="1"/>
  <c r="X16" i="26" l="1"/>
  <c r="P19" i="27" l="1"/>
  <c r="AA16" i="26"/>
  <c r="Q22" i="27"/>
  <c r="R22" i="27" s="1"/>
  <c r="U16" i="26"/>
  <c r="AB16" i="26" l="1"/>
  <c r="AC16" i="26" s="1"/>
  <c r="AD16" i="26" s="1"/>
  <c r="AE16" i="26" s="1"/>
  <c r="R23" i="27"/>
  <c r="W22" i="25"/>
  <c r="V22" i="25" l="1"/>
  <c r="Y22" i="25" l="1"/>
  <c r="C21" i="27"/>
  <c r="D21" i="27" s="1"/>
  <c r="R16" i="25"/>
  <c r="W16" i="25" l="1"/>
  <c r="S21" i="27"/>
  <c r="T21" i="27" s="1"/>
  <c r="S22" i="27"/>
  <c r="T22" i="27" s="1"/>
  <c r="Z22" i="25"/>
  <c r="AA22" i="25" s="1"/>
  <c r="AB22" i="25" l="1"/>
  <c r="AC22" i="25" s="1"/>
  <c r="Y16" i="25" l="1"/>
  <c r="V21" i="25"/>
  <c r="Y21" i="25" l="1"/>
  <c r="C23" i="27"/>
  <c r="Z16" i="25"/>
  <c r="D17" i="27"/>
  <c r="E17" i="27" s="1"/>
  <c r="D23" i="27" l="1"/>
  <c r="E23" i="27" s="1"/>
  <c r="F23" i="27" s="1"/>
  <c r="G23" i="27" s="1"/>
  <c r="Z21" i="25"/>
  <c r="P45" i="27"/>
  <c r="AA21" i="25" l="1"/>
  <c r="Q45" i="27"/>
  <c r="AB21" i="25" l="1"/>
  <c r="R45" i="27"/>
  <c r="AC21" i="25" l="1"/>
  <c r="T45" i="27"/>
  <c r="S45" i="27"/>
  <c r="R20" i="25" l="1"/>
  <c r="C43" i="27" l="1"/>
  <c r="E21" i="27" l="1"/>
  <c r="D43" i="27"/>
  <c r="F21" i="27" l="1"/>
  <c r="G21" i="27" s="1"/>
  <c r="E43" i="27"/>
  <c r="F43" i="27" l="1"/>
  <c r="G43" i="27" l="1"/>
  <c r="A10" i="27"/>
  <c r="B4" i="18" l="1"/>
  <c r="N10" i="27" l="1"/>
  <c r="O17" i="27"/>
  <c r="O28" i="27" s="1"/>
  <c r="W18" i="25"/>
  <c r="V18" i="25" l="1"/>
  <c r="C20" i="27" s="1"/>
  <c r="D20" i="27" s="1"/>
  <c r="N15" i="26"/>
  <c r="N22" i="26" s="1"/>
  <c r="W19" i="25"/>
  <c r="R18" i="25"/>
  <c r="B30" i="27" l="1"/>
  <c r="B9" i="18"/>
  <c r="Y18" i="25"/>
  <c r="Y15" i="26"/>
  <c r="Y22" i="26" s="1"/>
  <c r="U15" i="26"/>
  <c r="U22" i="26" s="1"/>
  <c r="W17" i="25"/>
  <c r="W43" i="25" s="1"/>
  <c r="E22" i="27"/>
  <c r="R19" i="25"/>
  <c r="R24" i="27"/>
  <c r="R17" i="25"/>
  <c r="R43" i="25" l="1"/>
  <c r="F22" i="27"/>
  <c r="G22" i="27" s="1"/>
  <c r="B19" i="18"/>
  <c r="B11" i="18"/>
  <c r="V19" i="25"/>
  <c r="V17" i="25"/>
  <c r="V43" i="25" s="1"/>
  <c r="E20" i="27"/>
  <c r="Z18" i="25"/>
  <c r="AA18" i="25" s="1"/>
  <c r="X15" i="26"/>
  <c r="X22" i="26" s="1"/>
  <c r="F17" i="27"/>
  <c r="G17" i="27" s="1"/>
  <c r="S24" i="27"/>
  <c r="T24" i="27" s="1"/>
  <c r="AA16" i="25"/>
  <c r="C24" i="27" l="1"/>
  <c r="C19" i="27"/>
  <c r="D19" i="27" s="1"/>
  <c r="C7" i="18"/>
  <c r="D7" i="18" s="1"/>
  <c r="E7" i="18" s="1"/>
  <c r="Y19" i="25"/>
  <c r="Z19" i="25" s="1"/>
  <c r="AA19" i="25" s="1"/>
  <c r="AB19" i="25" s="1"/>
  <c r="AC19" i="25" s="1"/>
  <c r="D24" i="27"/>
  <c r="E24" i="27" s="1"/>
  <c r="F20" i="27"/>
  <c r="G20" i="27" s="1"/>
  <c r="AA15" i="26"/>
  <c r="AA22" i="26" s="1"/>
  <c r="Y17" i="25"/>
  <c r="Y43" i="25" s="1"/>
  <c r="C9" i="18"/>
  <c r="P17" i="27"/>
  <c r="Q18" i="27"/>
  <c r="S23" i="27"/>
  <c r="T23" i="27" s="1"/>
  <c r="T20" i="27"/>
  <c r="AB16" i="25"/>
  <c r="AB18" i="25"/>
  <c r="AC18" i="25" s="1"/>
  <c r="D24" i="31" l="1"/>
  <c r="E24" i="31" s="1"/>
  <c r="C30" i="31"/>
  <c r="F24" i="27"/>
  <c r="G24" i="27" s="1"/>
  <c r="D9" i="18"/>
  <c r="Q17" i="27"/>
  <c r="R17" i="27" s="1"/>
  <c r="S17" i="27" s="1"/>
  <c r="P28" i="27"/>
  <c r="P29" i="27" s="1"/>
  <c r="C30" i="27"/>
  <c r="Q19" i="27"/>
  <c r="R19" i="27" s="1"/>
  <c r="S19" i="27" s="1"/>
  <c r="R18" i="27"/>
  <c r="AC16" i="25"/>
  <c r="AB15" i="26"/>
  <c r="AB22" i="26" s="1"/>
  <c r="Z17" i="25"/>
  <c r="Z43" i="25" s="1"/>
  <c r="D30" i="31" l="1"/>
  <c r="T17" i="27"/>
  <c r="Q28" i="27"/>
  <c r="R28" i="27"/>
  <c r="E9" i="18"/>
  <c r="AA17" i="25"/>
  <c r="AA43" i="25" s="1"/>
  <c r="S18" i="27"/>
  <c r="AC15" i="26"/>
  <c r="AC22" i="26" s="1"/>
  <c r="F24" i="31" l="1"/>
  <c r="E30" i="31"/>
  <c r="D30" i="27"/>
  <c r="E19" i="27"/>
  <c r="T18" i="27"/>
  <c r="S28" i="27"/>
  <c r="AB17" i="25"/>
  <c r="AB43" i="25" s="1"/>
  <c r="AD15" i="26"/>
  <c r="AD22" i="26" s="1"/>
  <c r="G24" i="31" l="1"/>
  <c r="G30" i="31" s="1"/>
  <c r="G35" i="31" s="1"/>
  <c r="F30" i="31"/>
  <c r="F19" i="27"/>
  <c r="G19" i="27" s="1"/>
  <c r="G30" i="27" s="1"/>
  <c r="G35" i="27" s="1"/>
  <c r="AC17" i="25"/>
  <c r="AE15" i="26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AC43" i="25" l="1"/>
  <c r="AC48" i="25" s="1"/>
  <c r="AC50" i="25"/>
  <c r="AE22" i="26"/>
  <c r="AE26" i="26" s="1"/>
  <c r="T19" i="27"/>
  <c r="T28" i="27" s="1"/>
  <c r="T29" i="27" l="1"/>
  <c r="T32" i="27"/>
  <c r="F9" i="18"/>
  <c r="T34" i="27" l="1"/>
  <c r="T35" i="27" s="1"/>
  <c r="G9" i="18"/>
  <c r="G31" i="27" l="1"/>
  <c r="F7" i="18" l="1"/>
  <c r="G7" i="18" s="1"/>
  <c r="B21" i="18"/>
  <c r="C11" i="18"/>
  <c r="E11" i="18" l="1"/>
  <c r="D11" i="18"/>
  <c r="B22" i="18"/>
  <c r="B23" i="18" s="1"/>
  <c r="B24" i="18" s="1"/>
  <c r="B27" i="18" s="1"/>
  <c r="B28" i="18" s="1"/>
  <c r="F30" i="27"/>
  <c r="E30" i="27"/>
  <c r="F11" i="18" l="1"/>
  <c r="G11" i="18" l="1"/>
  <c r="G13" i="18" s="1"/>
  <c r="U34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Recurso CSL</author>
  </authors>
  <commentList>
    <comment ref="B16" authorId="0" shapeId="0" xr:uid="{DDE4954F-8DF5-4124-A024-A1B8A59C4CB1}">
      <text>
        <r>
          <rPr>
            <b/>
            <sz val="9"/>
            <color indexed="81"/>
            <rFont val="Tahoma"/>
            <family val="2"/>
          </rPr>
          <t>Recurso CSL:</t>
        </r>
        <r>
          <rPr>
            <sz val="9"/>
            <color indexed="81"/>
            <rFont val="Tahoma"/>
            <family val="2"/>
          </rPr>
          <t xml:space="preserve">
credito infonavit $3806.83</t>
        </r>
      </text>
    </comment>
    <comment ref="B27" authorId="0" shapeId="0" xr:uid="{11B20EDC-C59A-44AE-803B-7BC6CB130CCD}">
      <text>
        <r>
          <rPr>
            <b/>
            <sz val="9"/>
            <color indexed="81"/>
            <rFont val="Tahoma"/>
            <family val="2"/>
          </rPr>
          <t>Recurso CSL:</t>
        </r>
        <r>
          <rPr>
            <sz val="9"/>
            <color indexed="81"/>
            <rFont val="Tahoma"/>
            <family val="2"/>
          </rPr>
          <t xml:space="preserve">
incapacidad de maternidad termino lunes 4 dic 2023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Recurso CSL</author>
  </authors>
  <commentList>
    <comment ref="A26" authorId="0" shapeId="0" xr:uid="{E6A212C4-020F-4034-8684-00898DCB31FD}">
      <text>
        <r>
          <rPr>
            <b/>
            <sz val="9"/>
            <color indexed="81"/>
            <rFont val="Tahoma"/>
            <family val="2"/>
          </rPr>
          <t>Recurso CSL:</t>
        </r>
        <r>
          <rPr>
            <sz val="9"/>
            <color indexed="81"/>
            <rFont val="Tahoma"/>
            <family val="2"/>
          </rPr>
          <t xml:space="preserve">
SALDO A FAVOR QUE SE GENERO POR EL COBRO DE ISR DOBLE EN LA NOMINA 1RA Y 2DA DE ENERO 2023
</t>
        </r>
      </text>
    </comment>
  </commentList>
</comments>
</file>

<file path=xl/sharedStrings.xml><?xml version="1.0" encoding="utf-8"?>
<sst xmlns="http://schemas.openxmlformats.org/spreadsheetml/2006/main" count="440" uniqueCount="208">
  <si>
    <t>CONSTRUCTORA LUXIMIA  S.A DE C.V.</t>
  </si>
  <si>
    <t>GRUPO LUXIMIA</t>
  </si>
  <si>
    <t>02. DEL 16-31 ENERO 2025</t>
  </si>
  <si>
    <t>SUELDO BRUTO</t>
  </si>
  <si>
    <t>FACTURACION</t>
  </si>
  <si>
    <t>TOTAL PERCEPCIONES</t>
  </si>
  <si>
    <t>NETO</t>
  </si>
  <si>
    <t>CÓDIGO</t>
  </si>
  <si>
    <t>NOMBRE</t>
  </si>
  <si>
    <t>DEPTO</t>
  </si>
  <si>
    <t>PUESTO</t>
  </si>
  <si>
    <t>NETO MENSUAL</t>
  </si>
  <si>
    <t>SDO</t>
  </si>
  <si>
    <t>DIAS</t>
  </si>
  <si>
    <t>SUELDO</t>
  </si>
  <si>
    <t>PRIMA VACACIONAL</t>
  </si>
  <si>
    <t>RETROACTIVO</t>
  </si>
  <si>
    <t>SUBSIDIO</t>
  </si>
  <si>
    <t>ISR</t>
  </si>
  <si>
    <t>IMSS</t>
  </si>
  <si>
    <t>PRESTAMO</t>
  </si>
  <si>
    <t>INFONAVIT</t>
  </si>
  <si>
    <t>TOTAL DEDUCCIONES</t>
  </si>
  <si>
    <t>ISN</t>
  </si>
  <si>
    <t>PREVIO COSTO SOCIAL</t>
  </si>
  <si>
    <t>TOTAL CARGA SOCIAL</t>
  </si>
  <si>
    <t>TOTAL NOMINA</t>
  </si>
  <si>
    <t>NOMINAS Y COSTOS TRIBUTARIO</t>
  </si>
  <si>
    <t>COMISION</t>
  </si>
  <si>
    <t>SUB-TOTAL</t>
  </si>
  <si>
    <t>IVA</t>
  </si>
  <si>
    <t>TOTAL FACTURACION</t>
  </si>
  <si>
    <t>YUKAWA</t>
  </si>
  <si>
    <t>BUSTOS MOLINA GERARDO</t>
  </si>
  <si>
    <t>CONTABILIDAD</t>
  </si>
  <si>
    <t>CONTADOR FINANCIERO</t>
  </si>
  <si>
    <t>CASAS CORTES JOSE ANDRES</t>
  </si>
  <si>
    <t>CUENTAS POR PAGAR</t>
  </si>
  <si>
    <t>DOMINGUEZ CHIM CESAR MANUEL</t>
  </si>
  <si>
    <t>DIRECCION CONSEJO</t>
  </si>
  <si>
    <t>MARINERO</t>
  </si>
  <si>
    <t>GALEANA MARIN EDWIN</t>
  </si>
  <si>
    <t>SISTEMAS</t>
  </si>
  <si>
    <t>JEFE DE SISTEMAS</t>
  </si>
  <si>
    <t>GUTIERREZ CASTILLO FAYNE DAFNE</t>
  </si>
  <si>
    <t>JURIDICO</t>
  </si>
  <si>
    <t>ENCARGADO JURIDICO</t>
  </si>
  <si>
    <t>HERNANDEZ DZUL JUAN RAMON</t>
  </si>
  <si>
    <t>SEGURIDAD</t>
  </si>
  <si>
    <t>TRASLADO DE VALORES</t>
  </si>
  <si>
    <t>LOMELI SANAVIA ROSALIA</t>
  </si>
  <si>
    <t>DIRECTOR JURIDICO</t>
  </si>
  <si>
    <t>MARTIN DZUL JAVIER ALEJANDRO</t>
  </si>
  <si>
    <t>PALMA ANDRADE EDWIN JOSUE</t>
  </si>
  <si>
    <t>ASISTENTE DE PROYECTO</t>
  </si>
  <si>
    <t>QUIÑONES PALMA TOMAS VENTURA</t>
  </si>
  <si>
    <t>GERENTE DE MARINA SHARK</t>
  </si>
  <si>
    <t>RAMIREZ AGUILAR ARTURO</t>
  </si>
  <si>
    <t>ENCARGADO DE LICITACIONES PUBLICAS</t>
  </si>
  <si>
    <t>RUIZ REYES ITZEL</t>
  </si>
  <si>
    <t>TESORERIA</t>
  </si>
  <si>
    <t>ENCARGADA DE TESORERIA</t>
  </si>
  <si>
    <t>VELAZQUEZ RODRIGUEZ OMAR</t>
  </si>
  <si>
    <t>CONTADOR GENERAL</t>
  </si>
  <si>
    <t>YEPEZ RASCON ALEJANDRO</t>
  </si>
  <si>
    <t>AUXILIAR CONTABLE</t>
  </si>
  <si>
    <t>PUC ZAVALA JOSUE ISRAEL</t>
  </si>
  <si>
    <t>AUDITORIA</t>
  </si>
  <si>
    <t>AUDITOR INTERNO</t>
  </si>
  <si>
    <t>ALVAREZ VAZQUEZ MONICA</t>
  </si>
  <si>
    <t>FINANZAS</t>
  </si>
  <si>
    <t>ASISTENTE DE DIRECCION</t>
  </si>
  <si>
    <t>RAMIREZ MARTINEZ SANDY GRISELL</t>
  </si>
  <si>
    <t>HERNANDEZ ALVAREZ EVERARDO DE JESUS</t>
  </si>
  <si>
    <t>Control Documental PLD</t>
  </si>
  <si>
    <t>DIAZ BERMUDEZ ADRIANA DEL PILAR</t>
  </si>
  <si>
    <t>AUXILIAR DE TESORERIA</t>
  </si>
  <si>
    <t>PONCE MELENDEZ FLAVIO MAURICIO</t>
  </si>
  <si>
    <t>DIRECTOR DE ADMINISTRACION Y FINANZAS</t>
  </si>
  <si>
    <t>ANAYA NOLASCO ALBERTO</t>
  </si>
  <si>
    <t>CONSTRUCCION</t>
  </si>
  <si>
    <t>DIRECTOR DE CONSTRUCCION</t>
  </si>
  <si>
    <t>PABLO HERNANDEZ CECILIA</t>
  </si>
  <si>
    <t>ZEN GARDEN</t>
  </si>
  <si>
    <t>PROJECT MANAGER JR</t>
  </si>
  <si>
    <t>MORENO FERNANDEZ ANA PAULINA</t>
  </si>
  <si>
    <t xml:space="preserve">RHE WAVE Y TORRE SHARK </t>
  </si>
  <si>
    <t>PCE LOGISTICA</t>
  </si>
  <si>
    <t>BURGOS CANTE ALEXIS ANTONIO</t>
  </si>
  <si>
    <t xml:space="preserve">AUXILIAR DE SISTEMAS TI </t>
  </si>
  <si>
    <t>CAMARA COBOJ CELESTE ESMERALDA</t>
  </si>
  <si>
    <t>CAPITAL HUMANO</t>
  </si>
  <si>
    <t>NOMINISTA</t>
  </si>
  <si>
    <t>MURGA CHAVEZ FATIMA DE JESUS</t>
  </si>
  <si>
    <t>ADMINISTRACION</t>
  </si>
  <si>
    <t>FONSECA ZACARIAS SARA AMAYRANI</t>
  </si>
  <si>
    <t>RECEPCIONISTA</t>
  </si>
  <si>
    <t>NUEVOS</t>
  </si>
  <si>
    <t>BAJAS/FINIQUITO</t>
  </si>
  <si>
    <t>FINIQUITO</t>
  </si>
  <si>
    <t>GRAN TOTAL</t>
  </si>
  <si>
    <t>PCE</t>
  </si>
  <si>
    <t>CONSTRUCTORA L. SHARK</t>
  </si>
  <si>
    <t xml:space="preserve">VACACIONES </t>
  </si>
  <si>
    <t>AGUINALDO</t>
  </si>
  <si>
    <t>DIA TRABAJADO PEND</t>
  </si>
  <si>
    <t>CANO SANCHEZ VIVIANA BERENICE</t>
  </si>
  <si>
    <t>ADMINISTRACION DE OBRA</t>
  </si>
  <si>
    <t>ANALISTA DE INFORMACION ENKONTROL</t>
  </si>
  <si>
    <t>MENEZ MARRUFO DANIEL ABEL</t>
  </si>
  <si>
    <t>COSTOS</t>
  </si>
  <si>
    <t>GERENTE DE COSTOS</t>
  </si>
  <si>
    <t>SORIANO DIAZ CUAUHTEMOC</t>
  </si>
  <si>
    <t>SUPERINTENDENTE GRAL DE OBRA</t>
  </si>
  <si>
    <t>ESCAMILLA PERERA DULCE MARICRUZ</t>
  </si>
  <si>
    <t>POSTVENTA</t>
  </si>
  <si>
    <t>ENCARGADA CONTROL DE CALIDAD</t>
  </si>
  <si>
    <t>MAGAA GONZALEZ CORINA SOFIA</t>
  </si>
  <si>
    <t>VENTAS</t>
  </si>
  <si>
    <t>CRUZ IZQUIERDO SAMUEL ERASMO</t>
  </si>
  <si>
    <t>Auxiliar de Calidad y Postventa</t>
  </si>
  <si>
    <t>PIÑA GARCIA RICARDO</t>
  </si>
  <si>
    <t>MERCADOTECNIA</t>
  </si>
  <si>
    <t>DISEÑADOR GRAFICO</t>
  </si>
  <si>
    <t xml:space="preserve"> </t>
  </si>
  <si>
    <t>FINQUITO</t>
  </si>
  <si>
    <t xml:space="preserve">PROCESADOS PETREOS LUXIMIA </t>
  </si>
  <si>
    <t>DANIEL MARTIN GONZALEZ AGUILAR</t>
  </si>
  <si>
    <t>BANCO DE MATERIAL</t>
  </si>
  <si>
    <t>GERENTE BANCO DE MATERIALES Y MAQUINARIA</t>
  </si>
  <si>
    <t>RAYO REYES FERNANDO</t>
  </si>
  <si>
    <t>NOMINA QUINCENAL</t>
  </si>
  <si>
    <t>FISCAL</t>
  </si>
  <si>
    <t xml:space="preserve">LUXIMIA </t>
  </si>
  <si>
    <t>SHARK</t>
  </si>
  <si>
    <t xml:space="preserve">PETREOS </t>
  </si>
  <si>
    <t>NOMINA FISCAL</t>
  </si>
  <si>
    <t>COSTO SOCIAL</t>
  </si>
  <si>
    <t>SUBTOTAL</t>
  </si>
  <si>
    <t>TOTAL</t>
  </si>
  <si>
    <t>ADMINISTRACIÓN</t>
  </si>
  <si>
    <t>DIRECCIÓN CONSEJO</t>
  </si>
  <si>
    <t>ZEN GARDENS</t>
  </si>
  <si>
    <t>CONTROL DE ACCESO</t>
  </si>
  <si>
    <t>MERCADOTENEA</t>
  </si>
  <si>
    <t>PETREO</t>
  </si>
  <si>
    <t>CONSTRUCCIÓN</t>
  </si>
  <si>
    <t>MANSION</t>
  </si>
  <si>
    <t>TOTAL FINIQUITO</t>
  </si>
  <si>
    <t>COMISIÓN</t>
  </si>
  <si>
    <t>TOTAL NOMINA FISCAL</t>
  </si>
  <si>
    <t>"NOMINA LUXIMIA"</t>
  </si>
  <si>
    <t>LUXIMIA</t>
  </si>
  <si>
    <t xml:space="preserve"> TOTAL</t>
  </si>
  <si>
    <t xml:space="preserve">RESUMEN </t>
  </si>
  <si>
    <t xml:space="preserve">TOTAL PERCEPCIONES </t>
  </si>
  <si>
    <t>RETENCION ISR</t>
  </si>
  <si>
    <t>COSTO SOCIAL (IMSS, INFONAVIT, RCV, ISN)</t>
  </si>
  <si>
    <t>BASE DE FACTURACION</t>
  </si>
  <si>
    <t>FINIQUITOS</t>
  </si>
  <si>
    <t>UMA</t>
  </si>
  <si>
    <t>°°°° RAMAS DE COSTO SOCIALES 2023°°°°°</t>
  </si>
  <si>
    <t xml:space="preserve">3 UMAS </t>
  </si>
  <si>
    <t>EXCEDENTE (3 UMAS)</t>
  </si>
  <si>
    <t>MENSUAL</t>
  </si>
  <si>
    <t>BIMESTRE</t>
  </si>
  <si>
    <t>DIAS DEL MES</t>
  </si>
  <si>
    <t>DIAS ANTERIORES</t>
  </si>
  <si>
    <t xml:space="preserve">FALTAS / PERMISOS S/GOCE/ SUSPENSION </t>
  </si>
  <si>
    <t>INCAPACIDADES</t>
  </si>
  <si>
    <t xml:space="preserve">TOTAL DIAS MENSUALES </t>
  </si>
  <si>
    <t>SD</t>
  </si>
  <si>
    <t>SDI</t>
  </si>
  <si>
    <t>CF</t>
  </si>
  <si>
    <t>EXC TRAB</t>
  </si>
  <si>
    <t>EXC PATR</t>
  </si>
  <si>
    <t>PD TRAB</t>
  </si>
  <si>
    <t>PD PATR</t>
  </si>
  <si>
    <t>GMP TRA</t>
  </si>
  <si>
    <t>GMP PATR</t>
  </si>
  <si>
    <t>RT</t>
  </si>
  <si>
    <t>IV TRAB</t>
  </si>
  <si>
    <t>IV PATR</t>
  </si>
  <si>
    <t>GPS</t>
  </si>
  <si>
    <t>SAR</t>
  </si>
  <si>
    <t>CV TRAB</t>
  </si>
  <si>
    <t>PORCENTAJE</t>
  </si>
  <si>
    <t>CV PATR</t>
  </si>
  <si>
    <t>PATRON</t>
  </si>
  <si>
    <t>OBRERRA</t>
  </si>
  <si>
    <t xml:space="preserve">DESCUENTO IMSS TRABAJADOR </t>
  </si>
  <si>
    <t>RCV</t>
  </si>
  <si>
    <t>TOTAL / COBRADO EN SISTEMA</t>
  </si>
  <si>
    <t>PRIMA DE RIESGO</t>
  </si>
  <si>
    <t xml:space="preserve">COSTO </t>
  </si>
  <si>
    <t>RAMAS DE CENSATIA SMG 2023</t>
  </si>
  <si>
    <t>RAMAS DE CENSATIA UMA 2023</t>
  </si>
  <si>
    <t>en adelante</t>
  </si>
  <si>
    <t xml:space="preserve">en adelante </t>
  </si>
  <si>
    <t>AÑOS</t>
  </si>
  <si>
    <t>PRIMA</t>
  </si>
  <si>
    <t>COTIZACION</t>
  </si>
  <si>
    <t>FACTOR</t>
  </si>
  <si>
    <t>ANTIGÜEDAD</t>
  </si>
  <si>
    <t>VACACIONES</t>
  </si>
  <si>
    <t>VACACIONAL</t>
  </si>
  <si>
    <t>ANUAL</t>
  </si>
  <si>
    <t>INTEGRACION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</si>
</sst>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3" formatCode="_-* #,##0.00_-;\-* #,##0.00_-;_-* &quot;-&quot;??_-;_-@_-"/>
    <numFmt numFmtId="164" formatCode="&quot;$&quot;#,##0.00;[Red]\-&quot;$&quot;#,##0.00"/>
    <numFmt numFmtId="165" formatCode="_-&quot;$&quot;* #,##0.00_-;\-&quot;$&quot;* #,##0.00_-;_-&quot;$&quot;* &quot;-&quot;??_-;_-@_-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0.0000"/>
    <numFmt numFmtId="169" formatCode="0.000"/>
    <numFmt numFmtId="170" formatCode="_([$€]* #,##0.00_);_([$€]* \(#,##0.00\);_([$€]* &quot;-&quot;??_);_(@_)"/>
    <numFmt numFmtId="171" formatCode="_(* #,##0.0_);_(* \(#,##0.00\);_(* \-??_);_(@_)"/>
    <numFmt numFmtId="172" formatCode="General_)"/>
    <numFmt numFmtId="173" formatCode="&quot;fl&quot;#,##0_);&quot;(fl&quot;#,##0\)"/>
    <numFmt numFmtId="174" formatCode="&quot;fl&quot;#,##0_);[Red]&quot;(fl&quot;#,##0\)"/>
    <numFmt numFmtId="175" formatCode="&quot;fl&quot;#,##0.00_);&quot;(fl&quot;#,##0.00\)"/>
    <numFmt numFmtId="176" formatCode="_-[$€]* #,##0.00_-;\-[$€]* #,##0.00_-;_-[$€]* &quot;-&quot;??_-;_-@_-"/>
    <numFmt numFmtId="177" formatCode="0.00_)"/>
    <numFmt numFmtId="178" formatCode="\60&quot;47:&quot;"/>
    <numFmt numFmtId="179" formatCode="&quot;fl&quot;#,##0.00_);[Red]&quot;(fl&quot;#,##0.00\)"/>
    <numFmt numFmtId="180" formatCode="_(&quot;fl&quot;* #,##0_);_(&quot;fl&quot;* \(#,##0\);_(&quot;fl&quot;* \-_);_(@_)"/>
    <numFmt numFmtId="181" formatCode="#,##0.00\ ;\-#,##0.00\ ;&quot; -&quot;#\ ;@\ "/>
    <numFmt numFmtId="182" formatCode="&quot;$&quot;#,##0.00_-"/>
    <numFmt numFmtId="183" formatCode="0.000000%"/>
    <numFmt numFmtId="184" formatCode="0.00000%"/>
    <numFmt numFmtId="185" formatCode="_-* #,##0.0000_-;\-* #,##0.0000_-;_-* &quot;-&quot;??_-;_-@_-"/>
    <numFmt numFmtId="186" formatCode="&quot;$&quot;#,##0.00"/>
  </numFmts>
  <fonts count="77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Tahoma"/>
      <family val="2"/>
    </font>
    <font>
      <sz val="10"/>
      <name val="Tahoma"/>
      <family val="2"/>
    </font>
    <font>
      <sz val="8"/>
      <name val="Arial"/>
      <family val="2"/>
    </font>
    <font>
      <b/>
      <sz val="8"/>
      <name val="Tahoma"/>
      <family val="2"/>
    </font>
    <font>
      <b/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color indexed="8"/>
      <name val="Arial"/>
      <family val="2"/>
    </font>
    <font>
      <sz val="10"/>
      <name val="MS Sans Serif"/>
      <family val="2"/>
    </font>
    <font>
      <b/>
      <sz val="12"/>
      <name val="Arial"/>
      <family val="2"/>
    </font>
    <font>
      <b/>
      <i/>
      <sz val="16"/>
      <name val="Helv"/>
      <family val="2"/>
    </font>
    <font>
      <b/>
      <sz val="11"/>
      <name val="Tahoma"/>
      <family val="2"/>
    </font>
    <font>
      <sz val="10"/>
      <name val="Arial"/>
      <family val="2"/>
    </font>
    <font>
      <b/>
      <sz val="12"/>
      <name val="Tahoma"/>
      <family val="2"/>
    </font>
    <font>
      <b/>
      <sz val="10"/>
      <name val="Arial Narrow"/>
      <family val="2"/>
    </font>
    <font>
      <sz val="10"/>
      <color indexed="8"/>
      <name val="MS Sans Serif"/>
      <family val="2"/>
    </font>
    <font>
      <u/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color theme="0"/>
      <name val="Tahoma"/>
      <family val="2"/>
    </font>
    <font>
      <b/>
      <sz val="10"/>
      <color theme="0"/>
      <name val="Arial Narrow"/>
      <family val="2"/>
    </font>
    <font>
      <sz val="10"/>
      <color theme="0"/>
      <name val="Tahoma"/>
      <family val="2"/>
    </font>
    <font>
      <sz val="10"/>
      <color rgb="FFFF0000"/>
      <name val="Tahoma"/>
      <family val="2"/>
    </font>
    <font>
      <b/>
      <sz val="12"/>
      <color theme="1"/>
      <name val="Calibri"/>
      <family val="2"/>
      <scheme val="minor"/>
    </font>
    <font>
      <sz val="12"/>
      <name val="Arial"/>
      <family val="2"/>
    </font>
    <font>
      <b/>
      <sz val="10"/>
      <color theme="0"/>
      <name val="Arial"/>
      <family val="2"/>
    </font>
    <font>
      <b/>
      <sz val="11"/>
      <color theme="0"/>
      <name val="Tahoma"/>
      <family val="2"/>
    </font>
    <font>
      <sz val="10"/>
      <color theme="1"/>
      <name val="Tahoma"/>
      <family val="2"/>
    </font>
    <font>
      <b/>
      <sz val="11"/>
      <color theme="9" tint="0.59999389629810485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indexed="8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Arial"/>
      <family val="2"/>
    </font>
    <font>
      <b/>
      <sz val="12"/>
      <color rgb="FFFF0000"/>
      <name val="Arial"/>
      <family val="2"/>
    </font>
    <font>
      <b/>
      <sz val="12"/>
      <color rgb="FFC00000"/>
      <name val="Arial"/>
      <family val="2"/>
    </font>
    <font>
      <b/>
      <sz val="12"/>
      <color theme="0"/>
      <name val="Arial"/>
      <family val="2"/>
    </font>
    <font>
      <sz val="10"/>
      <color theme="0"/>
      <name val="Arial"/>
      <family val="2"/>
    </font>
    <font>
      <sz val="9"/>
      <name val="Arial"/>
      <family val="2"/>
    </font>
    <font>
      <sz val="9"/>
      <color theme="0"/>
      <name val="Arial"/>
      <family val="2"/>
    </font>
    <font>
      <sz val="10"/>
      <color rgb="FF222222"/>
      <name val="Tahoma"/>
      <family val="2"/>
    </font>
    <font>
      <b/>
      <sz val="10"/>
      <color indexed="8"/>
      <name val="Arial"/>
      <family val="2"/>
    </font>
  </fonts>
  <fills count="4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  <bgColor indexed="31"/>
      </patternFill>
    </fill>
    <fill>
      <patternFill patternType="solid">
        <fgColor indexed="26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</fills>
  <borders count="6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double">
        <color indexed="8"/>
      </top>
      <bottom style="double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17">
    <xf numFmtId="0" fontId="0" fillId="0" borderId="0"/>
    <xf numFmtId="0" fontId="20" fillId="2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4" borderId="0" applyNumberFormat="0" applyBorder="0" applyAlignment="0" applyProtection="0"/>
    <xf numFmtId="0" fontId="20" fillId="5" borderId="0" applyNumberFormat="0" applyBorder="0" applyAlignment="0" applyProtection="0"/>
    <xf numFmtId="0" fontId="20" fillId="6" borderId="0" applyNumberFormat="0" applyBorder="0" applyAlignment="0" applyProtection="0"/>
    <xf numFmtId="0" fontId="20" fillId="7" borderId="0" applyNumberFormat="0" applyBorder="0" applyAlignment="0" applyProtection="0"/>
    <xf numFmtId="0" fontId="20" fillId="8" borderId="0" applyNumberFormat="0" applyBorder="0" applyAlignment="0" applyProtection="0"/>
    <xf numFmtId="0" fontId="20" fillId="9" borderId="0" applyNumberFormat="0" applyBorder="0" applyAlignment="0" applyProtection="0"/>
    <xf numFmtId="0" fontId="20" fillId="10" borderId="0" applyNumberFormat="0" applyBorder="0" applyAlignment="0" applyProtection="0"/>
    <xf numFmtId="0" fontId="20" fillId="5" borderId="0" applyNumberFormat="0" applyBorder="0" applyAlignment="0" applyProtection="0"/>
    <xf numFmtId="0" fontId="20" fillId="8" borderId="0" applyNumberFormat="0" applyBorder="0" applyAlignment="0" applyProtection="0"/>
    <xf numFmtId="0" fontId="20" fillId="11" borderId="0" applyNumberFormat="0" applyBorder="0" applyAlignment="0" applyProtection="0"/>
    <xf numFmtId="0" fontId="21" fillId="12" borderId="0" applyNumberFormat="0" applyBorder="0" applyAlignment="0" applyProtection="0"/>
    <xf numFmtId="0" fontId="21" fillId="9" borderId="0" applyNumberFormat="0" applyBorder="0" applyAlignment="0" applyProtection="0"/>
    <xf numFmtId="0" fontId="21" fillId="10" borderId="0" applyNumberFormat="0" applyBorder="0" applyAlignment="0" applyProtection="0"/>
    <xf numFmtId="0" fontId="21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171" fontId="38" fillId="0" borderId="0" applyFill="0" applyBorder="0" applyAlignment="0"/>
    <xf numFmtId="172" fontId="38" fillId="0" borderId="0" applyFill="0" applyBorder="0" applyAlignment="0"/>
    <xf numFmtId="169" fontId="38" fillId="0" borderId="0" applyFill="0" applyBorder="0" applyAlignment="0"/>
    <xf numFmtId="173" fontId="38" fillId="0" borderId="0" applyFill="0" applyBorder="0" applyAlignment="0"/>
    <xf numFmtId="174" fontId="38" fillId="0" borderId="0" applyFill="0" applyBorder="0" applyAlignment="0"/>
    <xf numFmtId="171" fontId="38" fillId="0" borderId="0" applyFill="0" applyBorder="0" applyAlignment="0"/>
    <xf numFmtId="175" fontId="38" fillId="0" borderId="0" applyFill="0" applyBorder="0" applyAlignment="0"/>
    <xf numFmtId="172" fontId="38" fillId="0" borderId="0" applyFill="0" applyBorder="0" applyAlignment="0"/>
    <xf numFmtId="0" fontId="22" fillId="16" borderId="1" applyNumberFormat="0" applyAlignment="0" applyProtection="0"/>
    <xf numFmtId="0" fontId="23" fillId="17" borderId="2" applyNumberFormat="0" applyAlignment="0" applyProtection="0"/>
    <xf numFmtId="0" fontId="24" fillId="0" borderId="3" applyNumberFormat="0" applyFill="0" applyAlignment="0" applyProtection="0"/>
    <xf numFmtId="0" fontId="19" fillId="0" borderId="4">
      <alignment horizontal="center"/>
    </xf>
    <xf numFmtId="171" fontId="35" fillId="0" borderId="0" applyFill="0" applyBorder="0" applyAlignment="0" applyProtection="0"/>
    <xf numFmtId="172" fontId="35" fillId="0" borderId="0" applyFill="0" applyBorder="0" applyAlignment="0" applyProtection="0"/>
    <xf numFmtId="166" fontId="14" fillId="0" borderId="0" applyFont="0" applyFill="0" applyBorder="0" applyAlignment="0" applyProtection="0"/>
    <xf numFmtId="14" fontId="39" fillId="0" borderId="0" applyFill="0" applyBorder="0" applyAlignment="0"/>
    <xf numFmtId="38" fontId="40" fillId="0" borderId="5">
      <alignment vertical="center"/>
    </xf>
    <xf numFmtId="0" fontId="25" fillId="0" borderId="0" applyNumberFormat="0" applyFill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21" borderId="0" applyNumberFormat="0" applyBorder="0" applyAlignment="0" applyProtection="0"/>
    <xf numFmtId="171" fontId="38" fillId="0" borderId="0" applyFill="0" applyBorder="0" applyAlignment="0"/>
    <xf numFmtId="172" fontId="38" fillId="0" borderId="0" applyFill="0" applyBorder="0" applyAlignment="0"/>
    <xf numFmtId="171" fontId="38" fillId="0" borderId="0" applyFill="0" applyBorder="0" applyAlignment="0"/>
    <xf numFmtId="175" fontId="38" fillId="0" borderId="0" applyFill="0" applyBorder="0" applyAlignment="0"/>
    <xf numFmtId="172" fontId="38" fillId="0" borderId="0" applyFill="0" applyBorder="0" applyAlignment="0"/>
    <xf numFmtId="0" fontId="26" fillId="7" borderId="1" applyNumberFormat="0" applyAlignment="0" applyProtection="0"/>
    <xf numFmtId="170" fontId="14" fillId="0" borderId="0" applyFont="0" applyFill="0" applyBorder="0" applyAlignment="0" applyProtection="0"/>
    <xf numFmtId="170" fontId="35" fillId="0" borderId="0" applyFont="0" applyFill="0" applyBorder="0" applyAlignment="0" applyProtection="0"/>
    <xf numFmtId="170" fontId="35" fillId="0" borderId="0" applyFont="0" applyFill="0" applyBorder="0" applyAlignment="0" applyProtection="0"/>
    <xf numFmtId="176" fontId="35" fillId="0" borderId="0" applyFont="0" applyFill="0" applyBorder="0" applyAlignment="0" applyProtection="0"/>
    <xf numFmtId="0" fontId="37" fillId="22" borderId="0" applyNumberFormat="0" applyBorder="0" applyAlignment="0" applyProtection="0"/>
    <xf numFmtId="0" fontId="17" fillId="22" borderId="0" applyNumberFormat="0" applyBorder="0" applyAlignment="0" applyProtection="0"/>
    <xf numFmtId="0" fontId="41" fillId="0" borderId="6" applyNumberFormat="0" applyAlignment="0" applyProtection="0"/>
    <xf numFmtId="0" fontId="41" fillId="0" borderId="7">
      <alignment horizontal="left" vertical="center"/>
    </xf>
    <xf numFmtId="0" fontId="27" fillId="3" borderId="0" applyNumberFormat="0" applyBorder="0" applyAlignment="0" applyProtection="0"/>
    <xf numFmtId="0" fontId="37" fillId="23" borderId="0" applyNumberFormat="0" applyBorder="0" applyAlignment="0" applyProtection="0"/>
    <xf numFmtId="0" fontId="17" fillId="23" borderId="0" applyNumberFormat="0" applyBorder="0" applyAlignment="0" applyProtection="0"/>
    <xf numFmtId="171" fontId="38" fillId="0" borderId="0" applyFill="0" applyBorder="0" applyAlignment="0"/>
    <xf numFmtId="172" fontId="38" fillId="0" borderId="0" applyFill="0" applyBorder="0" applyAlignment="0"/>
    <xf numFmtId="171" fontId="38" fillId="0" borderId="0" applyFill="0" applyBorder="0" applyAlignment="0"/>
    <xf numFmtId="175" fontId="38" fillId="0" borderId="0" applyFill="0" applyBorder="0" applyAlignment="0"/>
    <xf numFmtId="172" fontId="38" fillId="0" borderId="0" applyFill="0" applyBorder="0" applyAlignment="0"/>
    <xf numFmtId="43" fontId="14" fillId="0" borderId="0" applyFont="0" applyFill="0" applyBorder="0" applyAlignment="0" applyProtection="0"/>
    <xf numFmtId="167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35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5" fillId="0" borderId="0" applyFont="0" applyFill="0" applyBorder="0" applyAlignment="0" applyProtection="0"/>
    <xf numFmtId="0" fontId="28" fillId="24" borderId="0" applyNumberFormat="0" applyBorder="0" applyAlignment="0" applyProtection="0"/>
    <xf numFmtId="177" fontId="4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20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20" fillId="25" borderId="8" applyNumberFormat="0" applyFont="0" applyAlignment="0" applyProtection="0"/>
    <xf numFmtId="174" fontId="35" fillId="0" borderId="0" applyFill="0" applyBorder="0" applyAlignment="0" applyProtection="0"/>
    <xf numFmtId="178" fontId="35" fillId="0" borderId="0" applyFill="0" applyBorder="0" applyAlignment="0" applyProtection="0"/>
    <xf numFmtId="10" fontId="35" fillId="0" borderId="0" applyFill="0" applyBorder="0" applyAlignment="0" applyProtection="0"/>
    <xf numFmtId="171" fontId="38" fillId="0" borderId="0" applyFill="0" applyBorder="0" applyAlignment="0"/>
    <xf numFmtId="172" fontId="38" fillId="0" borderId="0" applyFill="0" applyBorder="0" applyAlignment="0"/>
    <xf numFmtId="171" fontId="38" fillId="0" borderId="0" applyFill="0" applyBorder="0" applyAlignment="0"/>
    <xf numFmtId="175" fontId="38" fillId="0" borderId="0" applyFill="0" applyBorder="0" applyAlignment="0"/>
    <xf numFmtId="172" fontId="38" fillId="0" borderId="0" applyFill="0" applyBorder="0" applyAlignment="0"/>
    <xf numFmtId="40" fontId="14" fillId="0" borderId="0"/>
    <xf numFmtId="40" fontId="35" fillId="0" borderId="0"/>
    <xf numFmtId="0" fontId="29" fillId="16" borderId="9" applyNumberFormat="0" applyAlignment="0" applyProtection="0"/>
    <xf numFmtId="49" fontId="39" fillId="0" borderId="0" applyFill="0" applyBorder="0" applyAlignment="0"/>
    <xf numFmtId="179" fontId="38" fillId="0" borderId="0" applyFill="0" applyBorder="0" applyAlignment="0"/>
    <xf numFmtId="180" fontId="38" fillId="0" borderId="0" applyFill="0" applyBorder="0" applyAlignment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0" applyNumberFormat="0" applyFill="0" applyAlignment="0" applyProtection="0"/>
    <xf numFmtId="0" fontId="25" fillId="0" borderId="11" applyNumberFormat="0" applyFill="0" applyAlignment="0" applyProtection="0"/>
    <xf numFmtId="0" fontId="34" fillId="0" borderId="12" applyNumberFormat="0" applyFill="0" applyAlignment="0" applyProtection="0"/>
    <xf numFmtId="0" fontId="13" fillId="0" borderId="0"/>
    <xf numFmtId="165" fontId="14" fillId="0" borderId="0" applyFont="0" applyFill="0" applyBorder="0" applyAlignment="0" applyProtection="0"/>
    <xf numFmtId="165" fontId="13" fillId="0" borderId="0" applyFont="0" applyFill="0" applyBorder="0" applyAlignment="0" applyProtection="0"/>
    <xf numFmtId="0" fontId="14" fillId="0" borderId="0"/>
    <xf numFmtId="165" fontId="51" fillId="0" borderId="0" applyFont="0" applyFill="0" applyBorder="0" applyAlignment="0" applyProtection="0"/>
    <xf numFmtId="9" fontId="52" fillId="0" borderId="0" applyFont="0" applyFill="0" applyBorder="0" applyAlignment="0" applyProtection="0"/>
    <xf numFmtId="0" fontId="14" fillId="0" borderId="0"/>
    <xf numFmtId="0" fontId="12" fillId="0" borderId="0"/>
    <xf numFmtId="0" fontId="14" fillId="0" borderId="0"/>
    <xf numFmtId="0" fontId="14" fillId="0" borderId="0"/>
    <xf numFmtId="0" fontId="12" fillId="0" borderId="0"/>
    <xf numFmtId="0" fontId="12" fillId="0" borderId="0"/>
    <xf numFmtId="0" fontId="47" fillId="0" borderId="0"/>
    <xf numFmtId="0" fontId="14" fillId="0" borderId="0"/>
    <xf numFmtId="171" fontId="14" fillId="0" borderId="0" applyFill="0" applyBorder="0" applyAlignment="0" applyProtection="0"/>
    <xf numFmtId="172" fontId="14" fillId="0" borderId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74" fontId="14" fillId="0" borderId="0" applyFill="0" applyBorder="0" applyAlignment="0" applyProtection="0"/>
    <xf numFmtId="178" fontId="14" fillId="0" borderId="0" applyFill="0" applyBorder="0" applyAlignment="0" applyProtection="0"/>
    <xf numFmtId="10" fontId="14" fillId="0" borderId="0" applyFill="0" applyBorder="0" applyAlignment="0" applyProtection="0"/>
    <xf numFmtId="40" fontId="14" fillId="0" borderId="0"/>
    <xf numFmtId="0" fontId="14" fillId="0" borderId="0"/>
    <xf numFmtId="0" fontId="11" fillId="0" borderId="0"/>
    <xf numFmtId="165" fontId="14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11" fillId="0" borderId="0"/>
    <xf numFmtId="165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4" fillId="0" borderId="0" applyFont="0" applyFill="0" applyBorder="0" applyAlignment="0" applyProtection="0"/>
    <xf numFmtId="0" fontId="11" fillId="0" borderId="0"/>
    <xf numFmtId="0" fontId="10" fillId="0" borderId="0"/>
    <xf numFmtId="165" fontId="10" fillId="0" borderId="0" applyFont="0" applyFill="0" applyBorder="0" applyAlignment="0" applyProtection="0"/>
    <xf numFmtId="0" fontId="10" fillId="0" borderId="0"/>
    <xf numFmtId="0" fontId="20" fillId="0" borderId="0" applyFill="0" applyProtection="0"/>
    <xf numFmtId="0" fontId="10" fillId="0" borderId="0"/>
    <xf numFmtId="0" fontId="20" fillId="0" borderId="0" applyFill="0" applyProtection="0"/>
    <xf numFmtId="0" fontId="10" fillId="0" borderId="0"/>
    <xf numFmtId="0" fontId="20" fillId="0" borderId="0" applyFill="0" applyProtection="0"/>
    <xf numFmtId="0" fontId="10" fillId="0" borderId="0"/>
    <xf numFmtId="0" fontId="20" fillId="0" borderId="0" applyFill="0" applyProtection="0"/>
    <xf numFmtId="0" fontId="9" fillId="0" borderId="0"/>
    <xf numFmtId="165" fontId="9" fillId="0" borderId="0" applyFont="0" applyFill="0" applyBorder="0" applyAlignment="0" applyProtection="0"/>
    <xf numFmtId="0" fontId="14" fillId="0" borderId="0"/>
    <xf numFmtId="0" fontId="20" fillId="2" borderId="0" applyNumberFormat="0" applyBorder="0" applyAlignment="0" applyProtection="0"/>
    <xf numFmtId="0" fontId="20" fillId="3" borderId="0" applyNumberFormat="0" applyBorder="0" applyAlignment="0" applyProtection="0"/>
    <xf numFmtId="0" fontId="20" fillId="4" borderId="0" applyNumberFormat="0" applyBorder="0" applyAlignment="0" applyProtection="0"/>
    <xf numFmtId="0" fontId="20" fillId="5" borderId="0" applyNumberFormat="0" applyBorder="0" applyAlignment="0" applyProtection="0"/>
    <xf numFmtId="0" fontId="20" fillId="6" borderId="0" applyNumberFormat="0" applyBorder="0" applyAlignment="0" applyProtection="0"/>
    <xf numFmtId="0" fontId="20" fillId="7" borderId="0" applyNumberFormat="0" applyBorder="0" applyAlignment="0" applyProtection="0"/>
    <xf numFmtId="0" fontId="20" fillId="8" borderId="0" applyNumberFormat="0" applyBorder="0" applyAlignment="0" applyProtection="0"/>
    <xf numFmtId="0" fontId="20" fillId="9" borderId="0" applyNumberFormat="0" applyBorder="0" applyAlignment="0" applyProtection="0"/>
    <xf numFmtId="0" fontId="20" fillId="10" borderId="0" applyNumberFormat="0" applyBorder="0" applyAlignment="0" applyProtection="0"/>
    <xf numFmtId="0" fontId="20" fillId="5" borderId="0" applyNumberFormat="0" applyBorder="0" applyAlignment="0" applyProtection="0"/>
    <xf numFmtId="0" fontId="20" fillId="8" borderId="0" applyNumberFormat="0" applyBorder="0" applyAlignment="0" applyProtection="0"/>
    <xf numFmtId="0" fontId="20" fillId="11" borderId="0" applyNumberFormat="0" applyBorder="0" applyAlignment="0" applyProtection="0"/>
    <xf numFmtId="0" fontId="21" fillId="12" borderId="0" applyNumberFormat="0" applyBorder="0" applyAlignment="0" applyProtection="0"/>
    <xf numFmtId="0" fontId="21" fillId="9" borderId="0" applyNumberFormat="0" applyBorder="0" applyAlignment="0" applyProtection="0"/>
    <xf numFmtId="0" fontId="21" fillId="10" borderId="0" applyNumberFormat="0" applyBorder="0" applyAlignment="0" applyProtection="0"/>
    <xf numFmtId="0" fontId="21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22" fillId="16" borderId="1" applyNumberFormat="0" applyAlignment="0" applyProtection="0"/>
    <xf numFmtId="0" fontId="23" fillId="17" borderId="2" applyNumberFormat="0" applyAlignment="0" applyProtection="0"/>
    <xf numFmtId="0" fontId="24" fillId="0" borderId="3" applyNumberFormat="0" applyFill="0" applyAlignment="0" applyProtection="0"/>
    <xf numFmtId="0" fontId="25" fillId="0" borderId="0" applyNumberFormat="0" applyFill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21" borderId="0" applyNumberFormat="0" applyBorder="0" applyAlignment="0" applyProtection="0"/>
    <xf numFmtId="0" fontId="26" fillId="7" borderId="1" applyNumberFormat="0" applyAlignment="0" applyProtection="0"/>
    <xf numFmtId="0" fontId="27" fillId="3" borderId="0" applyNumberFormat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4" fillId="0" borderId="0" applyFont="0" applyFill="0" applyBorder="0" applyAlignment="0" applyProtection="0"/>
    <xf numFmtId="0" fontId="28" fillId="24" borderId="0" applyNumberFormat="0" applyBorder="0" applyAlignment="0" applyProtection="0"/>
    <xf numFmtId="0" fontId="20" fillId="25" borderId="8" applyNumberFormat="0" applyFont="0" applyAlignment="0" applyProtection="0"/>
    <xf numFmtId="0" fontId="29" fillId="16" borderId="9" applyNumberFormat="0" applyAlignment="0" applyProtection="0"/>
    <xf numFmtId="0" fontId="9" fillId="0" borderId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0" applyNumberFormat="0" applyFill="0" applyAlignment="0" applyProtection="0"/>
    <xf numFmtId="0" fontId="25" fillId="0" borderId="11" applyNumberFormat="0" applyFill="0" applyAlignment="0" applyProtection="0"/>
    <xf numFmtId="0" fontId="34" fillId="0" borderId="12" applyNumberFormat="0" applyFill="0" applyAlignment="0" applyProtection="0"/>
    <xf numFmtId="0" fontId="9" fillId="0" borderId="0"/>
    <xf numFmtId="165" fontId="14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4" fillId="0" borderId="0" applyFont="0" applyFill="0" applyBorder="0" applyAlignment="0" applyProtection="0"/>
    <xf numFmtId="0" fontId="9" fillId="0" borderId="0"/>
    <xf numFmtId="165" fontId="14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9" fillId="0" borderId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14" fillId="0" borderId="0" applyFont="0" applyFill="0" applyBorder="0" applyAlignment="0" applyProtection="0"/>
    <xf numFmtId="0" fontId="9" fillId="0" borderId="0"/>
    <xf numFmtId="0" fontId="9" fillId="0" borderId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7" fillId="0" borderId="0"/>
    <xf numFmtId="165" fontId="7" fillId="0" borderId="0" applyFont="0" applyFill="0" applyBorder="0" applyAlignment="0" applyProtection="0"/>
    <xf numFmtId="0" fontId="6" fillId="0" borderId="0"/>
    <xf numFmtId="165" fontId="6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81" fontId="20" fillId="0" borderId="0"/>
    <xf numFmtId="43" fontId="14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43" fontId="1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43" fontId="14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2" fillId="0" borderId="0"/>
    <xf numFmtId="165" fontId="2" fillId="0" borderId="0" applyFont="0" applyFill="0" applyBorder="0" applyAlignment="0" applyProtection="0"/>
    <xf numFmtId="43" fontId="14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1" fillId="0" borderId="0"/>
    <xf numFmtId="43" fontId="1" fillId="0" borderId="0" applyFont="0" applyFill="0" applyBorder="0" applyAlignment="0" applyProtection="0"/>
  </cellStyleXfs>
  <cellXfs count="347">
    <xf numFmtId="0" fontId="0" fillId="0" borderId="0" xfId="0"/>
    <xf numFmtId="0" fontId="14" fillId="0" borderId="0" xfId="0" applyFont="1" applyProtection="1">
      <protection locked="0" hidden="1"/>
    </xf>
    <xf numFmtId="0" fontId="16" fillId="0" borderId="0" xfId="0" applyFont="1" applyProtection="1">
      <protection locked="0" hidden="1"/>
    </xf>
    <xf numFmtId="0" fontId="36" fillId="0" borderId="0" xfId="0" applyFont="1" applyProtection="1">
      <protection locked="0" hidden="1"/>
    </xf>
    <xf numFmtId="0" fontId="18" fillId="0" borderId="13" xfId="0" applyFont="1" applyBorder="1" applyAlignment="1" applyProtection="1">
      <alignment horizontal="center"/>
      <protection locked="0" hidden="1"/>
    </xf>
    <xf numFmtId="0" fontId="18" fillId="0" borderId="14" xfId="0" applyFont="1" applyBorder="1" applyAlignment="1" applyProtection="1">
      <alignment horizontal="center"/>
      <protection locked="0" hidden="1"/>
    </xf>
    <xf numFmtId="0" fontId="16" fillId="0" borderId="0" xfId="0" applyFont="1" applyAlignment="1" applyProtection="1">
      <alignment horizontal="center"/>
      <protection locked="0" hidden="1"/>
    </xf>
    <xf numFmtId="9" fontId="16" fillId="0" borderId="0" xfId="0" applyNumberFormat="1" applyFont="1" applyAlignment="1" applyProtection="1">
      <alignment horizontal="center"/>
      <protection locked="0" hidden="1"/>
    </xf>
    <xf numFmtId="168" fontId="15" fillId="0" borderId="0" xfId="0" applyNumberFormat="1" applyFont="1" applyProtection="1">
      <protection locked="0" hidden="1"/>
    </xf>
    <xf numFmtId="43" fontId="16" fillId="26" borderId="0" xfId="0" applyNumberFormat="1" applyFont="1" applyFill="1"/>
    <xf numFmtId="0" fontId="43" fillId="26" borderId="0" xfId="0" applyFont="1" applyFill="1"/>
    <xf numFmtId="0" fontId="16" fillId="26" borderId="0" xfId="0" applyFont="1" applyFill="1"/>
    <xf numFmtId="0" fontId="16" fillId="26" borderId="0" xfId="0" applyFont="1" applyFill="1" applyAlignment="1">
      <alignment horizontal="center"/>
    </xf>
    <xf numFmtId="1" fontId="16" fillId="26" borderId="0" xfId="0" applyNumberFormat="1" applyFont="1" applyFill="1" applyAlignment="1">
      <alignment horizontal="center"/>
    </xf>
    <xf numFmtId="43" fontId="16" fillId="26" borderId="0" xfId="71" applyFont="1" applyFill="1"/>
    <xf numFmtId="0" fontId="15" fillId="26" borderId="0" xfId="0" applyFont="1" applyFill="1"/>
    <xf numFmtId="43" fontId="15" fillId="26" borderId="15" xfId="0" applyNumberFormat="1" applyFont="1" applyFill="1" applyBorder="1"/>
    <xf numFmtId="0" fontId="0" fillId="26" borderId="0" xfId="0" applyFill="1"/>
    <xf numFmtId="0" fontId="16" fillId="26" borderId="17" xfId="0" applyFont="1" applyFill="1" applyBorder="1" applyAlignment="1">
      <alignment horizontal="center"/>
    </xf>
    <xf numFmtId="1" fontId="16" fillId="26" borderId="17" xfId="0" applyNumberFormat="1" applyFont="1" applyFill="1" applyBorder="1" applyAlignment="1">
      <alignment horizontal="center"/>
    </xf>
    <xf numFmtId="0" fontId="16" fillId="26" borderId="18" xfId="0" applyFont="1" applyFill="1" applyBorder="1" applyAlignment="1">
      <alignment horizontal="center"/>
    </xf>
    <xf numFmtId="0" fontId="46" fillId="26" borderId="0" xfId="0" applyFont="1" applyFill="1" applyAlignment="1">
      <alignment horizontal="center" vertical="center"/>
    </xf>
    <xf numFmtId="4" fontId="46" fillId="27" borderId="21" xfId="0" applyNumberFormat="1" applyFont="1" applyFill="1" applyBorder="1" applyAlignment="1">
      <alignment horizontal="center" vertical="center"/>
    </xf>
    <xf numFmtId="0" fontId="16" fillId="27" borderId="0" xfId="0" applyFont="1" applyFill="1" applyAlignment="1">
      <alignment horizontal="center"/>
    </xf>
    <xf numFmtId="0" fontId="16" fillId="26" borderId="22" xfId="0" applyFont="1" applyFill="1" applyBorder="1" applyAlignment="1">
      <alignment horizontal="center"/>
    </xf>
    <xf numFmtId="0" fontId="16" fillId="26" borderId="24" xfId="0" applyFont="1" applyFill="1" applyBorder="1" applyAlignment="1">
      <alignment horizontal="center"/>
    </xf>
    <xf numFmtId="0" fontId="16" fillId="26" borderId="18" xfId="0" applyFont="1" applyFill="1" applyBorder="1"/>
    <xf numFmtId="43" fontId="16" fillId="27" borderId="30" xfId="0" applyNumberFormat="1" applyFont="1" applyFill="1" applyBorder="1"/>
    <xf numFmtId="43" fontId="16" fillId="26" borderId="15" xfId="0" applyNumberFormat="1" applyFont="1" applyFill="1" applyBorder="1"/>
    <xf numFmtId="1" fontId="16" fillId="0" borderId="15" xfId="0" applyNumberFormat="1" applyFont="1" applyBorder="1" applyAlignment="1">
      <alignment horizontal="center"/>
    </xf>
    <xf numFmtId="43" fontId="16" fillId="26" borderId="28" xfId="0" applyNumberFormat="1" applyFont="1" applyFill="1" applyBorder="1"/>
    <xf numFmtId="43" fontId="16" fillId="26" borderId="25" xfId="0" applyNumberFormat="1" applyFont="1" applyFill="1" applyBorder="1"/>
    <xf numFmtId="43" fontId="16" fillId="26" borderId="15" xfId="66" applyFont="1" applyFill="1" applyBorder="1"/>
    <xf numFmtId="43" fontId="15" fillId="26" borderId="27" xfId="71" applyFont="1" applyFill="1" applyBorder="1"/>
    <xf numFmtId="43" fontId="15" fillId="26" borderId="15" xfId="71" applyFont="1" applyFill="1" applyBorder="1"/>
    <xf numFmtId="0" fontId="48" fillId="26" borderId="0" xfId="0" applyFont="1" applyFill="1"/>
    <xf numFmtId="0" fontId="13" fillId="26" borderId="0" xfId="191" applyFill="1"/>
    <xf numFmtId="0" fontId="49" fillId="26" borderId="41" xfId="191" applyFont="1" applyFill="1" applyBorder="1" applyAlignment="1">
      <alignment horizontal="center"/>
    </xf>
    <xf numFmtId="9" fontId="49" fillId="26" borderId="41" xfId="191" applyNumberFormat="1" applyFont="1" applyFill="1" applyBorder="1" applyAlignment="1">
      <alignment horizontal="center"/>
    </xf>
    <xf numFmtId="0" fontId="50" fillId="26" borderId="0" xfId="0" applyFont="1" applyFill="1" applyAlignment="1">
      <alignment horizontal="center"/>
    </xf>
    <xf numFmtId="165" fontId="14" fillId="26" borderId="0" xfId="192" applyFill="1"/>
    <xf numFmtId="165" fontId="13" fillId="26" borderId="0" xfId="193" applyFill="1"/>
    <xf numFmtId="43" fontId="0" fillId="26" borderId="0" xfId="0" applyNumberFormat="1" applyFill="1"/>
    <xf numFmtId="0" fontId="49" fillId="26" borderId="0" xfId="191" applyFont="1" applyFill="1" applyAlignment="1">
      <alignment horizontal="center"/>
    </xf>
    <xf numFmtId="165" fontId="13" fillId="26" borderId="0" xfId="191" applyNumberFormat="1" applyFill="1"/>
    <xf numFmtId="165" fontId="0" fillId="26" borderId="0" xfId="0" applyNumberFormat="1" applyFill="1"/>
    <xf numFmtId="0" fontId="49" fillId="26" borderId="41" xfId="191" applyFont="1" applyFill="1" applyBorder="1" applyAlignment="1">
      <alignment horizontal="center" wrapText="1"/>
    </xf>
    <xf numFmtId="1" fontId="16" fillId="0" borderId="15" xfId="0" applyNumberFormat="1" applyFont="1" applyBorder="1"/>
    <xf numFmtId="43" fontId="16" fillId="26" borderId="23" xfId="0" applyNumberFormat="1" applyFont="1" applyFill="1" applyBorder="1"/>
    <xf numFmtId="0" fontId="16" fillId="26" borderId="19" xfId="0" applyFont="1" applyFill="1" applyBorder="1" applyAlignment="1">
      <alignment horizontal="center"/>
    </xf>
    <xf numFmtId="9" fontId="46" fillId="26" borderId="34" xfId="0" applyNumberFormat="1" applyFont="1" applyFill="1" applyBorder="1" applyAlignment="1">
      <alignment horizontal="center" vertical="center"/>
    </xf>
    <xf numFmtId="9" fontId="15" fillId="26" borderId="0" xfId="196" applyFont="1" applyFill="1"/>
    <xf numFmtId="0" fontId="0" fillId="26" borderId="41" xfId="0" applyFill="1" applyBorder="1"/>
    <xf numFmtId="0" fontId="0" fillId="26" borderId="41" xfId="0" applyFill="1" applyBorder="1" applyAlignment="1">
      <alignment wrapText="1"/>
    </xf>
    <xf numFmtId="165" fontId="0" fillId="26" borderId="41" xfId="195" applyFont="1" applyFill="1" applyBorder="1"/>
    <xf numFmtId="0" fontId="49" fillId="29" borderId="22" xfId="191" applyFont="1" applyFill="1" applyBorder="1"/>
    <xf numFmtId="165" fontId="49" fillId="29" borderId="22" xfId="191" applyNumberFormat="1" applyFont="1" applyFill="1" applyBorder="1"/>
    <xf numFmtId="164" fontId="0" fillId="26" borderId="0" xfId="0" applyNumberFormat="1" applyFill="1"/>
    <xf numFmtId="165" fontId="53" fillId="30" borderId="0" xfId="0" applyNumberFormat="1" applyFont="1" applyFill="1"/>
    <xf numFmtId="0" fontId="16" fillId="0" borderId="17" xfId="0" applyFont="1" applyBorder="1" applyAlignment="1">
      <alignment horizontal="center"/>
    </xf>
    <xf numFmtId="43" fontId="16" fillId="0" borderId="15" xfId="66" applyFont="1" applyFill="1" applyBorder="1"/>
    <xf numFmtId="0" fontId="16" fillId="26" borderId="40" xfId="0" applyFont="1" applyFill="1" applyBorder="1"/>
    <xf numFmtId="165" fontId="16" fillId="26" borderId="0" xfId="0" applyNumberFormat="1" applyFont="1" applyFill="1"/>
    <xf numFmtId="0" fontId="45" fillId="26" borderId="0" xfId="0" applyFont="1" applyFill="1" applyAlignment="1">
      <alignment horizontal="center"/>
    </xf>
    <xf numFmtId="0" fontId="16" fillId="0" borderId="0" xfId="0" applyFont="1"/>
    <xf numFmtId="0" fontId="46" fillId="0" borderId="20" xfId="0" applyFont="1" applyBorder="1" applyAlignment="1">
      <alignment horizontal="center" vertical="center"/>
    </xf>
    <xf numFmtId="0" fontId="46" fillId="0" borderId="21" xfId="0" applyFont="1" applyBorder="1" applyAlignment="1">
      <alignment horizontal="center" vertical="center"/>
    </xf>
    <xf numFmtId="43" fontId="16" fillId="0" borderId="30" xfId="0" applyNumberFormat="1" applyFont="1" applyBorder="1"/>
    <xf numFmtId="0" fontId="46" fillId="0" borderId="20" xfId="0" applyFont="1" applyBorder="1" applyAlignment="1">
      <alignment horizontal="center" vertical="center" wrapText="1"/>
    </xf>
    <xf numFmtId="43" fontId="55" fillId="0" borderId="33" xfId="71" applyFont="1" applyFill="1" applyBorder="1" applyAlignment="1">
      <alignment horizontal="center"/>
    </xf>
    <xf numFmtId="0" fontId="50" fillId="32" borderId="16" xfId="0" applyFont="1" applyFill="1" applyBorder="1" applyAlignment="1">
      <alignment horizontal="center"/>
    </xf>
    <xf numFmtId="0" fontId="46" fillId="0" borderId="33" xfId="0" applyFont="1" applyBorder="1" applyAlignment="1">
      <alignment horizontal="center" vertical="center" wrapText="1"/>
    </xf>
    <xf numFmtId="43" fontId="55" fillId="26" borderId="0" xfId="71" applyFont="1" applyFill="1" applyBorder="1"/>
    <xf numFmtId="0" fontId="55" fillId="26" borderId="0" xfId="0" applyFont="1" applyFill="1"/>
    <xf numFmtId="0" fontId="54" fillId="27" borderId="0" xfId="0" applyFont="1" applyFill="1" applyAlignment="1">
      <alignment horizontal="center" vertical="center" wrapText="1"/>
    </xf>
    <xf numFmtId="0" fontId="54" fillId="27" borderId="0" xfId="0" applyFont="1" applyFill="1" applyAlignment="1">
      <alignment horizontal="center" vertical="center"/>
    </xf>
    <xf numFmtId="0" fontId="55" fillId="27" borderId="0" xfId="0" applyFont="1" applyFill="1"/>
    <xf numFmtId="0" fontId="46" fillId="27" borderId="37" xfId="0" applyFont="1" applyFill="1" applyBorder="1" applyAlignment="1">
      <alignment horizontal="center" vertical="center" wrapText="1"/>
    </xf>
    <xf numFmtId="0" fontId="46" fillId="27" borderId="21" xfId="0" applyFont="1" applyFill="1" applyBorder="1" applyAlignment="1">
      <alignment horizontal="center" vertical="center"/>
    </xf>
    <xf numFmtId="0" fontId="16" fillId="27" borderId="0" xfId="0" applyFont="1" applyFill="1"/>
    <xf numFmtId="2" fontId="16" fillId="26" borderId="0" xfId="0" applyNumberFormat="1" applyFont="1" applyFill="1" applyAlignment="1">
      <alignment horizontal="center"/>
    </xf>
    <xf numFmtId="43" fontId="0" fillId="0" borderId="0" xfId="0" applyNumberFormat="1"/>
    <xf numFmtId="165" fontId="0" fillId="0" borderId="0" xfId="0" applyNumberFormat="1"/>
    <xf numFmtId="2" fontId="16" fillId="26" borderId="0" xfId="0" applyNumberFormat="1" applyFont="1" applyFill="1"/>
    <xf numFmtId="43" fontId="16" fillId="26" borderId="0" xfId="0" applyNumberFormat="1" applyFont="1" applyFill="1" applyAlignment="1">
      <alignment horizontal="center"/>
    </xf>
    <xf numFmtId="0" fontId="55" fillId="30" borderId="41" xfId="0" applyFont="1" applyFill="1" applyBorder="1"/>
    <xf numFmtId="165" fontId="16" fillId="26" borderId="0" xfId="195" applyFont="1" applyFill="1" applyAlignment="1">
      <alignment horizontal="center"/>
    </xf>
    <xf numFmtId="1" fontId="56" fillId="0" borderId="15" xfId="0" applyNumberFormat="1" applyFont="1" applyBorder="1"/>
    <xf numFmtId="1" fontId="16" fillId="26" borderId="0" xfId="0" applyNumberFormat="1" applyFont="1" applyFill="1"/>
    <xf numFmtId="43" fontId="16" fillId="26" borderId="0" xfId="66" applyFont="1" applyFill="1" applyAlignment="1">
      <alignment horizontal="center"/>
    </xf>
    <xf numFmtId="0" fontId="46" fillId="26" borderId="24" xfId="0" applyFont="1" applyFill="1" applyBorder="1" applyAlignment="1">
      <alignment horizontal="center" vertical="center"/>
    </xf>
    <xf numFmtId="0" fontId="46" fillId="26" borderId="34" xfId="0" applyFont="1" applyFill="1" applyBorder="1" applyAlignment="1">
      <alignment horizontal="center" vertical="center"/>
    </xf>
    <xf numFmtId="0" fontId="46" fillId="26" borderId="24" xfId="0" applyFont="1" applyFill="1" applyBorder="1" applyAlignment="1">
      <alignment horizontal="center" vertical="center" wrapText="1"/>
    </xf>
    <xf numFmtId="0" fontId="46" fillId="26" borderId="34" xfId="0" applyFont="1" applyFill="1" applyBorder="1" applyAlignment="1">
      <alignment horizontal="center" vertical="center" wrapText="1"/>
    </xf>
    <xf numFmtId="0" fontId="55" fillId="30" borderId="0" xfId="0" applyFont="1" applyFill="1"/>
    <xf numFmtId="0" fontId="56" fillId="26" borderId="0" xfId="0" applyFont="1" applyFill="1"/>
    <xf numFmtId="1" fontId="56" fillId="0" borderId="0" xfId="0" applyNumberFormat="1" applyFont="1"/>
    <xf numFmtId="0" fontId="55" fillId="26" borderId="0" xfId="0" applyFont="1" applyFill="1" applyAlignment="1">
      <alignment horizontal="center"/>
    </xf>
    <xf numFmtId="0" fontId="57" fillId="26" borderId="41" xfId="191" applyFont="1" applyFill="1" applyBorder="1" applyAlignment="1">
      <alignment horizontal="center"/>
    </xf>
    <xf numFmtId="0" fontId="58" fillId="0" borderId="0" xfId="0" applyFont="1"/>
    <xf numFmtId="0" fontId="41" fillId="0" borderId="22" xfId="0" applyFont="1" applyBorder="1"/>
    <xf numFmtId="0" fontId="50" fillId="0" borderId="0" xfId="0" applyFont="1"/>
    <xf numFmtId="0" fontId="59" fillId="35" borderId="0" xfId="0" applyFont="1" applyFill="1"/>
    <xf numFmtId="9" fontId="49" fillId="26" borderId="41" xfId="191" applyNumberFormat="1" applyFont="1" applyFill="1" applyBorder="1" applyAlignment="1">
      <alignment horizontal="center" wrapText="1"/>
    </xf>
    <xf numFmtId="165" fontId="0" fillId="0" borderId="0" xfId="195" applyFont="1"/>
    <xf numFmtId="43" fontId="0" fillId="0" borderId="0" xfId="66" applyFont="1"/>
    <xf numFmtId="43" fontId="0" fillId="0" borderId="42" xfId="0" applyNumberFormat="1" applyBorder="1"/>
    <xf numFmtId="43" fontId="0" fillId="0" borderId="42" xfId="66" applyFont="1" applyBorder="1"/>
    <xf numFmtId="0" fontId="14" fillId="31" borderId="0" xfId="0" applyFont="1" applyFill="1"/>
    <xf numFmtId="165" fontId="0" fillId="29" borderId="0" xfId="195" applyFont="1" applyFill="1"/>
    <xf numFmtId="165" fontId="60" fillId="30" borderId="14" xfId="195" applyFont="1" applyFill="1" applyBorder="1" applyAlignment="1">
      <alignment horizontal="center"/>
    </xf>
    <xf numFmtId="0" fontId="49" fillId="0" borderId="0" xfId="0" applyFont="1"/>
    <xf numFmtId="0" fontId="41" fillId="0" borderId="0" xfId="0" applyFont="1" applyAlignment="1">
      <alignment horizontal="center"/>
    </xf>
    <xf numFmtId="0" fontId="61" fillId="26" borderId="0" xfId="0" applyFont="1" applyFill="1" applyAlignment="1">
      <alignment horizontal="center"/>
    </xf>
    <xf numFmtId="43" fontId="56" fillId="26" borderId="0" xfId="71" applyFont="1" applyFill="1"/>
    <xf numFmtId="43" fontId="56" fillId="26" borderId="0" xfId="0" applyNumberFormat="1" applyFont="1" applyFill="1" applyAlignment="1">
      <alignment horizontal="center"/>
    </xf>
    <xf numFmtId="43" fontId="0" fillId="0" borderId="0" xfId="66" applyFont="1" applyBorder="1"/>
    <xf numFmtId="0" fontId="56" fillId="26" borderId="0" xfId="0" applyFont="1" applyFill="1" applyAlignment="1">
      <alignment horizontal="center"/>
    </xf>
    <xf numFmtId="43" fontId="61" fillId="26" borderId="0" xfId="0" applyNumberFormat="1" applyFont="1" applyFill="1" applyAlignment="1">
      <alignment horizontal="center"/>
    </xf>
    <xf numFmtId="43" fontId="55" fillId="26" borderId="0" xfId="0" applyNumberFormat="1" applyFont="1" applyFill="1"/>
    <xf numFmtId="0" fontId="14" fillId="0" borderId="0" xfId="0" applyFont="1"/>
    <xf numFmtId="164" fontId="0" fillId="0" borderId="42" xfId="195" applyNumberFormat="1" applyFont="1" applyBorder="1"/>
    <xf numFmtId="164" fontId="0" fillId="0" borderId="0" xfId="0" applyNumberFormat="1"/>
    <xf numFmtId="43" fontId="16" fillId="26" borderId="0" xfId="195" applyNumberFormat="1" applyFont="1" applyFill="1"/>
    <xf numFmtId="164" fontId="0" fillId="29" borderId="0" xfId="195" applyNumberFormat="1" applyFont="1" applyFill="1"/>
    <xf numFmtId="0" fontId="0" fillId="0" borderId="0" xfId="0" applyAlignment="1">
      <alignment horizontal="center"/>
    </xf>
    <xf numFmtId="0" fontId="49" fillId="26" borderId="13" xfId="191" applyFont="1" applyFill="1" applyBorder="1" applyAlignment="1">
      <alignment horizontal="center" wrapText="1"/>
    </xf>
    <xf numFmtId="9" fontId="49" fillId="26" borderId="13" xfId="191" applyNumberFormat="1" applyFont="1" applyFill="1" applyBorder="1" applyAlignment="1">
      <alignment horizontal="center" wrapText="1"/>
    </xf>
    <xf numFmtId="0" fontId="49" fillId="26" borderId="13" xfId="191" applyFont="1" applyFill="1" applyBorder="1" applyAlignment="1">
      <alignment horizontal="center"/>
    </xf>
    <xf numFmtId="43" fontId="0" fillId="29" borderId="0" xfId="195" applyNumberFormat="1" applyFont="1" applyFill="1"/>
    <xf numFmtId="165" fontId="16" fillId="26" borderId="0" xfId="0" applyNumberFormat="1" applyFont="1" applyFill="1" applyAlignment="1">
      <alignment horizontal="center"/>
    </xf>
    <xf numFmtId="164" fontId="0" fillId="0" borderId="43" xfId="195" applyNumberFormat="1" applyFont="1" applyBorder="1"/>
    <xf numFmtId="43" fontId="0" fillId="0" borderId="40" xfId="66" applyFont="1" applyBorder="1"/>
    <xf numFmtId="43" fontId="0" fillId="0" borderId="40" xfId="0" applyNumberFormat="1" applyBorder="1"/>
    <xf numFmtId="164" fontId="0" fillId="0" borderId="44" xfId="195" applyNumberFormat="1" applyFont="1" applyBorder="1"/>
    <xf numFmtId="0" fontId="16" fillId="34" borderId="0" xfId="0" applyFont="1" applyFill="1"/>
    <xf numFmtId="164" fontId="0" fillId="0" borderId="42" xfId="0" applyNumberFormat="1" applyBorder="1"/>
    <xf numFmtId="0" fontId="46" fillId="36" borderId="20" xfId="0" applyFont="1" applyFill="1" applyBorder="1" applyAlignment="1">
      <alignment horizontal="center" vertical="center" wrapText="1"/>
    </xf>
    <xf numFmtId="14" fontId="62" fillId="30" borderId="0" xfId="400" applyNumberFormat="1" applyFont="1" applyFill="1" applyAlignment="1">
      <alignment horizontal="center" vertical="center"/>
    </xf>
    <xf numFmtId="164" fontId="0" fillId="0" borderId="0" xfId="195" applyNumberFormat="1" applyFont="1" applyBorder="1"/>
    <xf numFmtId="0" fontId="49" fillId="26" borderId="40" xfId="191" applyFont="1" applyFill="1" applyBorder="1" applyAlignment="1">
      <alignment horizontal="center" wrapText="1"/>
    </xf>
    <xf numFmtId="9" fontId="49" fillId="26" borderId="40" xfId="191" applyNumberFormat="1" applyFont="1" applyFill="1" applyBorder="1" applyAlignment="1">
      <alignment horizontal="center" wrapText="1"/>
    </xf>
    <xf numFmtId="0" fontId="49" fillId="26" borderId="40" xfId="191" applyFont="1" applyFill="1" applyBorder="1" applyAlignment="1">
      <alignment horizontal="center"/>
    </xf>
    <xf numFmtId="14" fontId="62" fillId="30" borderId="24" xfId="400" applyNumberFormat="1" applyFont="1" applyFill="1" applyBorder="1" applyAlignment="1">
      <alignment horizontal="center" vertical="center"/>
    </xf>
    <xf numFmtId="43" fontId="14" fillId="26" borderId="0" xfId="192" applyNumberFormat="1" applyFill="1"/>
    <xf numFmtId="2" fontId="56" fillId="26" borderId="0" xfId="0" applyNumberFormat="1" applyFont="1" applyFill="1" applyAlignment="1">
      <alignment horizontal="center"/>
    </xf>
    <xf numFmtId="43" fontId="15" fillId="26" borderId="46" xfId="66" applyFont="1" applyFill="1" applyBorder="1" applyAlignment="1">
      <alignment horizontal="center"/>
    </xf>
    <xf numFmtId="43" fontId="16" fillId="26" borderId="47" xfId="0" applyNumberFormat="1" applyFont="1" applyFill="1" applyBorder="1"/>
    <xf numFmtId="43" fontId="0" fillId="0" borderId="0" xfId="195" applyNumberFormat="1" applyFont="1"/>
    <xf numFmtId="1" fontId="16" fillId="26" borderId="15" xfId="0" applyNumberFormat="1" applyFont="1" applyFill="1" applyBorder="1"/>
    <xf numFmtId="43" fontId="55" fillId="26" borderId="0" xfId="71" applyFont="1" applyFill="1"/>
    <xf numFmtId="43" fontId="56" fillId="26" borderId="0" xfId="66" applyFont="1" applyFill="1" applyAlignment="1">
      <alignment horizontal="center"/>
    </xf>
    <xf numFmtId="1" fontId="61" fillId="0" borderId="15" xfId="0" applyNumberFormat="1" applyFont="1" applyBorder="1"/>
    <xf numFmtId="1" fontId="61" fillId="26" borderId="15" xfId="0" applyNumberFormat="1" applyFont="1" applyFill="1" applyBorder="1"/>
    <xf numFmtId="165" fontId="50" fillId="37" borderId="0" xfId="0" applyNumberFormat="1" applyFont="1" applyFill="1"/>
    <xf numFmtId="165" fontId="50" fillId="0" borderId="41" xfId="195" applyFont="1" applyFill="1" applyBorder="1"/>
    <xf numFmtId="0" fontId="0" fillId="38" borderId="0" xfId="0" applyFill="1"/>
    <xf numFmtId="165" fontId="14" fillId="26" borderId="0" xfId="192" applyFill="1" applyBorder="1"/>
    <xf numFmtId="165" fontId="13" fillId="26" borderId="0" xfId="193" applyFill="1" applyBorder="1"/>
    <xf numFmtId="0" fontId="46" fillId="27" borderId="33" xfId="0" applyFont="1" applyFill="1" applyBorder="1" applyAlignment="1">
      <alignment horizontal="center" vertical="center"/>
    </xf>
    <xf numFmtId="43" fontId="16" fillId="26" borderId="0" xfId="71" applyFont="1" applyFill="1" applyBorder="1"/>
    <xf numFmtId="43" fontId="16" fillId="26" borderId="50" xfId="71" applyFont="1" applyFill="1" applyBorder="1"/>
    <xf numFmtId="0" fontId="46" fillId="0" borderId="38" xfId="0" applyFont="1" applyBorder="1" applyAlignment="1">
      <alignment horizontal="center" vertical="center"/>
    </xf>
    <xf numFmtId="0" fontId="16" fillId="0" borderId="50" xfId="0" applyFont="1" applyBorder="1"/>
    <xf numFmtId="43" fontId="16" fillId="0" borderId="48" xfId="0" applyNumberFormat="1" applyFont="1" applyBorder="1"/>
    <xf numFmtId="43" fontId="16" fillId="0" borderId="0" xfId="0" applyNumberFormat="1" applyFont="1"/>
    <xf numFmtId="43" fontId="61" fillId="26" borderId="0" xfId="195" applyNumberFormat="1" applyFont="1" applyFill="1"/>
    <xf numFmtId="0" fontId="61" fillId="26" borderId="0" xfId="0" applyFont="1" applyFill="1"/>
    <xf numFmtId="2" fontId="61" fillId="26" borderId="0" xfId="0" applyNumberFormat="1" applyFont="1" applyFill="1" applyAlignment="1">
      <alignment horizontal="center"/>
    </xf>
    <xf numFmtId="43" fontId="15" fillId="0" borderId="14" xfId="66" applyFont="1" applyFill="1" applyBorder="1" applyAlignment="1">
      <alignment horizontal="center"/>
    </xf>
    <xf numFmtId="0" fontId="50" fillId="39" borderId="0" xfId="0" applyFont="1" applyFill="1"/>
    <xf numFmtId="165" fontId="16" fillId="0" borderId="15" xfId="195" applyFont="1" applyBorder="1" applyAlignment="1">
      <alignment horizontal="center"/>
    </xf>
    <xf numFmtId="165" fontId="56" fillId="26" borderId="0" xfId="195" applyFont="1" applyFill="1" applyAlignment="1">
      <alignment horizontal="center"/>
    </xf>
    <xf numFmtId="165" fontId="55" fillId="26" borderId="0" xfId="195" applyFont="1" applyFill="1" applyAlignment="1">
      <alignment horizontal="center"/>
    </xf>
    <xf numFmtId="165" fontId="16" fillId="26" borderId="24" xfId="195" applyFont="1" applyFill="1" applyBorder="1" applyAlignment="1">
      <alignment horizontal="center"/>
    </xf>
    <xf numFmtId="165" fontId="16" fillId="26" borderId="0" xfId="195" applyFont="1" applyFill="1"/>
    <xf numFmtId="165" fontId="16" fillId="0" borderId="30" xfId="195" applyFont="1" applyBorder="1"/>
    <xf numFmtId="0" fontId="66" fillId="0" borderId="0" xfId="415" applyFont="1"/>
    <xf numFmtId="165" fontId="66" fillId="0" borderId="0" xfId="356" applyFont="1"/>
    <xf numFmtId="0" fontId="67" fillId="0" borderId="0" xfId="415" applyFont="1"/>
    <xf numFmtId="0" fontId="67" fillId="36" borderId="0" xfId="415" applyFont="1" applyFill="1"/>
    <xf numFmtId="43" fontId="66" fillId="0" borderId="0" xfId="66" applyFont="1"/>
    <xf numFmtId="165" fontId="58" fillId="0" borderId="0" xfId="356" applyFont="1" applyAlignment="1">
      <alignment horizontal="center"/>
    </xf>
    <xf numFmtId="0" fontId="68" fillId="40" borderId="0" xfId="415" applyFont="1" applyFill="1"/>
    <xf numFmtId="0" fontId="66" fillId="40" borderId="0" xfId="415" applyFont="1" applyFill="1"/>
    <xf numFmtId="183" fontId="69" fillId="0" borderId="0" xfId="357" applyNumberFormat="1" applyFont="1" applyAlignment="1">
      <alignment horizontal="center" vertical="center"/>
    </xf>
    <xf numFmtId="10" fontId="58" fillId="0" borderId="0" xfId="0" applyNumberFormat="1" applyFont="1"/>
    <xf numFmtId="0" fontId="67" fillId="0" borderId="0" xfId="415" applyFont="1" applyAlignment="1">
      <alignment horizontal="center"/>
    </xf>
    <xf numFmtId="0" fontId="70" fillId="0" borderId="0" xfId="415" applyFont="1" applyAlignment="1">
      <alignment horizontal="center"/>
    </xf>
    <xf numFmtId="184" fontId="58" fillId="0" borderId="0" xfId="0" applyNumberFormat="1" applyFont="1"/>
    <xf numFmtId="165" fontId="67" fillId="0" borderId="0" xfId="356" applyFont="1"/>
    <xf numFmtId="0" fontId="66" fillId="41" borderId="51" xfId="415" applyFont="1" applyFill="1" applyBorder="1" applyAlignment="1">
      <alignment horizontal="center" vertical="center" wrapText="1"/>
    </xf>
    <xf numFmtId="168" fontId="67" fillId="0" borderId="0" xfId="415" applyNumberFormat="1" applyFont="1"/>
    <xf numFmtId="0" fontId="71" fillId="0" borderId="0" xfId="0" applyFont="1" applyAlignment="1">
      <alignment horizontal="center" vertical="center"/>
    </xf>
    <xf numFmtId="2" fontId="67" fillId="0" borderId="0" xfId="415" applyNumberFormat="1" applyFont="1"/>
    <xf numFmtId="2" fontId="67" fillId="0" borderId="0" xfId="415" applyNumberFormat="1" applyFont="1" applyAlignment="1">
      <alignment horizontal="center" vertical="center"/>
    </xf>
    <xf numFmtId="184" fontId="67" fillId="0" borderId="0" xfId="357" applyNumberFormat="1" applyFont="1"/>
    <xf numFmtId="49" fontId="66" fillId="0" borderId="0" xfId="415" applyNumberFormat="1" applyFont="1" applyAlignment="1">
      <alignment horizontal="center"/>
    </xf>
    <xf numFmtId="165" fontId="66" fillId="0" borderId="0" xfId="356" applyFont="1" applyAlignment="1">
      <alignment horizontal="center"/>
    </xf>
    <xf numFmtId="0" fontId="66" fillId="0" borderId="0" xfId="415" applyFont="1" applyAlignment="1">
      <alignment horizontal="center" vertical="center" wrapText="1"/>
    </xf>
    <xf numFmtId="0" fontId="66" fillId="0" borderId="53" xfId="415" applyFont="1" applyBorder="1" applyAlignment="1">
      <alignment horizontal="center" vertical="center" wrapText="1"/>
    </xf>
    <xf numFmtId="0" fontId="66" fillId="41" borderId="53" xfId="415" applyFont="1" applyFill="1" applyBorder="1" applyAlignment="1">
      <alignment horizontal="center" vertical="center" wrapText="1"/>
    </xf>
    <xf numFmtId="0" fontId="67" fillId="0" borderId="0" xfId="415" applyFont="1" applyAlignment="1">
      <alignment horizontal="center" vertical="center" wrapText="1"/>
    </xf>
    <xf numFmtId="0" fontId="58" fillId="0" borderId="0" xfId="416" applyNumberFormat="1" applyFont="1" applyFill="1" applyBorder="1" applyAlignment="1">
      <alignment horizontal="center" vertical="center"/>
    </xf>
    <xf numFmtId="43" fontId="66" fillId="0" borderId="0" xfId="415" applyNumberFormat="1" applyFont="1"/>
    <xf numFmtId="43" fontId="58" fillId="0" borderId="0" xfId="416" applyFont="1" applyFill="1" applyBorder="1"/>
    <xf numFmtId="185" fontId="58" fillId="0" borderId="0" xfId="416" applyNumberFormat="1" applyFont="1" applyFill="1" applyBorder="1"/>
    <xf numFmtId="43" fontId="58" fillId="0" borderId="0" xfId="66" applyFont="1" applyFill="1" applyBorder="1"/>
    <xf numFmtId="43" fontId="41" fillId="40" borderId="0" xfId="416" applyFont="1" applyFill="1" applyBorder="1"/>
    <xf numFmtId="43" fontId="58" fillId="0" borderId="0" xfId="0" applyNumberFormat="1" applyFont="1"/>
    <xf numFmtId="184" fontId="58" fillId="36" borderId="0" xfId="0" applyNumberFormat="1" applyFont="1" applyFill="1"/>
    <xf numFmtId="165" fontId="58" fillId="0" borderId="0" xfId="356" applyFont="1"/>
    <xf numFmtId="165" fontId="58" fillId="0" borderId="0" xfId="0" applyNumberFormat="1" applyFont="1"/>
    <xf numFmtId="43" fontId="58" fillId="0" borderId="0" xfId="66" applyFont="1"/>
    <xf numFmtId="165" fontId="66" fillId="0" borderId="0" xfId="356" applyFont="1" applyAlignment="1">
      <alignment horizontal="center" vertical="center" wrapText="1"/>
    </xf>
    <xf numFmtId="165" fontId="56" fillId="26" borderId="0" xfId="195" applyFont="1" applyFill="1"/>
    <xf numFmtId="165" fontId="16" fillId="26" borderId="0" xfId="195" applyFont="1" applyFill="1" applyBorder="1"/>
    <xf numFmtId="165" fontId="46" fillId="0" borderId="20" xfId="195" applyFont="1" applyBorder="1" applyAlignment="1">
      <alignment horizontal="center" vertical="center"/>
    </xf>
    <xf numFmtId="165" fontId="46" fillId="0" borderId="21" xfId="195" applyFont="1" applyBorder="1" applyAlignment="1">
      <alignment horizontal="center" vertical="center"/>
    </xf>
    <xf numFmtId="165" fontId="16" fillId="0" borderId="0" xfId="195" applyFont="1"/>
    <xf numFmtId="165" fontId="16" fillId="36" borderId="25" xfId="195" applyFont="1" applyFill="1" applyBorder="1"/>
    <xf numFmtId="43" fontId="16" fillId="0" borderId="15" xfId="0" applyNumberFormat="1" applyFont="1" applyBorder="1"/>
    <xf numFmtId="43" fontId="16" fillId="0" borderId="23" xfId="0" applyNumberFormat="1" applyFont="1" applyBorder="1"/>
    <xf numFmtId="43" fontId="16" fillId="0" borderId="25" xfId="0" applyNumberFormat="1" applyFont="1" applyBorder="1"/>
    <xf numFmtId="43" fontId="16" fillId="0" borderId="28" xfId="0" applyNumberFormat="1" applyFont="1" applyBorder="1"/>
    <xf numFmtId="165" fontId="16" fillId="0" borderId="30" xfId="195" applyFont="1" applyFill="1" applyBorder="1"/>
    <xf numFmtId="0" fontId="72" fillId="35" borderId="0" xfId="0" applyFont="1" applyFill="1"/>
    <xf numFmtId="186" fontId="0" fillId="0" borderId="0" xfId="0" applyNumberFormat="1"/>
    <xf numFmtId="0" fontId="74" fillId="35" borderId="0" xfId="0" applyFont="1" applyFill="1"/>
    <xf numFmtId="165" fontId="14" fillId="26" borderId="56" xfId="192" applyFill="1" applyBorder="1"/>
    <xf numFmtId="165" fontId="13" fillId="26" borderId="56" xfId="193" applyFill="1" applyBorder="1"/>
    <xf numFmtId="43" fontId="56" fillId="26" borderId="0" xfId="214" applyFont="1" applyFill="1"/>
    <xf numFmtId="43" fontId="16" fillId="26" borderId="0" xfId="214" applyFont="1" applyFill="1"/>
    <xf numFmtId="43" fontId="55" fillId="26" borderId="0" xfId="214" applyFont="1" applyFill="1" applyBorder="1"/>
    <xf numFmtId="43" fontId="55" fillId="26" borderId="0" xfId="214" applyFont="1" applyFill="1"/>
    <xf numFmtId="9" fontId="15" fillId="26" borderId="0" xfId="357" applyFont="1" applyFill="1"/>
    <xf numFmtId="9" fontId="46" fillId="0" borderId="20" xfId="357" applyFont="1" applyFill="1" applyBorder="1" applyAlignment="1">
      <alignment horizontal="center" vertical="center"/>
    </xf>
    <xf numFmtId="43" fontId="16" fillId="26" borderId="57" xfId="0" applyNumberFormat="1" applyFont="1" applyFill="1" applyBorder="1"/>
    <xf numFmtId="164" fontId="16" fillId="26" borderId="57" xfId="66" applyNumberFormat="1" applyFont="1" applyFill="1" applyBorder="1"/>
    <xf numFmtId="1" fontId="16" fillId="0" borderId="57" xfId="0" applyNumberFormat="1" applyFont="1" applyBorder="1" applyAlignment="1">
      <alignment horizontal="center"/>
    </xf>
    <xf numFmtId="43" fontId="16" fillId="26" borderId="57" xfId="66" applyFont="1" applyFill="1" applyBorder="1"/>
    <xf numFmtId="43" fontId="16" fillId="26" borderId="58" xfId="0" applyNumberFormat="1" applyFont="1" applyFill="1" applyBorder="1"/>
    <xf numFmtId="165" fontId="16" fillId="0" borderId="57" xfId="356" applyFont="1" applyBorder="1" applyAlignment="1">
      <alignment horizontal="center"/>
    </xf>
    <xf numFmtId="165" fontId="16" fillId="26" borderId="47" xfId="356" applyFont="1" applyFill="1" applyBorder="1"/>
    <xf numFmtId="43" fontId="16" fillId="26" borderId="59" xfId="0" applyNumberFormat="1" applyFont="1" applyFill="1" applyBorder="1"/>
    <xf numFmtId="43" fontId="16" fillId="36" borderId="58" xfId="0" applyNumberFormat="1" applyFont="1" applyFill="1" applyBorder="1"/>
    <xf numFmtId="43" fontId="16" fillId="26" borderId="60" xfId="0" applyNumberFormat="1" applyFont="1" applyFill="1" applyBorder="1"/>
    <xf numFmtId="43" fontId="15" fillId="26" borderId="61" xfId="214" applyFont="1" applyFill="1" applyBorder="1"/>
    <xf numFmtId="43" fontId="15" fillId="26" borderId="57" xfId="214" applyFont="1" applyFill="1" applyBorder="1"/>
    <xf numFmtId="43" fontId="15" fillId="26" borderId="57" xfId="0" applyNumberFormat="1" applyFont="1" applyFill="1" applyBorder="1"/>
    <xf numFmtId="43" fontId="15" fillId="0" borderId="62" xfId="66" applyFont="1" applyFill="1" applyBorder="1" applyAlignment="1">
      <alignment horizontal="center"/>
    </xf>
    <xf numFmtId="164" fontId="16" fillId="26" borderId="0" xfId="0" applyNumberFormat="1" applyFont="1" applyFill="1" applyAlignment="1">
      <alignment horizontal="center"/>
    </xf>
    <xf numFmtId="43" fontId="56" fillId="26" borderId="0" xfId="356" applyNumberFormat="1" applyFont="1" applyFill="1"/>
    <xf numFmtId="164" fontId="16" fillId="26" borderId="0" xfId="356" applyNumberFormat="1" applyFont="1" applyFill="1"/>
    <xf numFmtId="0" fontId="15" fillId="26" borderId="0" xfId="0" applyFont="1" applyFill="1" applyAlignment="1">
      <alignment horizontal="center"/>
    </xf>
    <xf numFmtId="182" fontId="76" fillId="0" borderId="0" xfId="0" applyNumberFormat="1" applyFont="1"/>
    <xf numFmtId="165" fontId="53" fillId="30" borderId="14" xfId="356" applyFont="1" applyFill="1" applyBorder="1" applyAlignment="1">
      <alignment horizontal="center"/>
    </xf>
    <xf numFmtId="165" fontId="0" fillId="0" borderId="0" xfId="356" applyFont="1"/>
    <xf numFmtId="165" fontId="0" fillId="29" borderId="0" xfId="356" applyFont="1" applyFill="1"/>
    <xf numFmtId="0" fontId="49" fillId="29" borderId="0" xfId="191" applyFont="1" applyFill="1"/>
    <xf numFmtId="165" fontId="49" fillId="29" borderId="0" xfId="191" applyNumberFormat="1" applyFont="1" applyFill="1"/>
    <xf numFmtId="14" fontId="62" fillId="30" borderId="45" xfId="404" applyNumberFormat="1" applyFont="1" applyFill="1" applyBorder="1" applyAlignment="1">
      <alignment horizontal="center" vertical="center"/>
    </xf>
    <xf numFmtId="164" fontId="0" fillId="0" borderId="0" xfId="356" applyNumberFormat="1" applyFont="1" applyBorder="1"/>
    <xf numFmtId="14" fontId="62" fillId="30" borderId="63" xfId="406" applyNumberFormat="1" applyFont="1" applyFill="1" applyBorder="1" applyAlignment="1">
      <alignment horizontal="center" vertical="center"/>
    </xf>
    <xf numFmtId="164" fontId="0" fillId="0" borderId="44" xfId="356" applyNumberFormat="1" applyFont="1" applyBorder="1"/>
    <xf numFmtId="164" fontId="0" fillId="29" borderId="0" xfId="356" applyNumberFormat="1" applyFont="1" applyFill="1"/>
    <xf numFmtId="43" fontId="0" fillId="29" borderId="0" xfId="356" applyNumberFormat="1" applyFont="1" applyFill="1"/>
    <xf numFmtId="9" fontId="46" fillId="0" borderId="20" xfId="357" applyFont="1" applyFill="1" applyBorder="1" applyAlignment="1">
      <alignment horizontal="center" vertical="center" wrapText="1"/>
    </xf>
    <xf numFmtId="9" fontId="46" fillId="0" borderId="20" xfId="196" applyFont="1" applyFill="1" applyBorder="1" applyAlignment="1">
      <alignment horizontal="center" vertical="center" wrapText="1"/>
    </xf>
    <xf numFmtId="43" fontId="15" fillId="26" borderId="41" xfId="71" applyFont="1" applyFill="1" applyBorder="1"/>
    <xf numFmtId="165" fontId="16" fillId="26" borderId="41" xfId="195" applyFont="1" applyFill="1" applyBorder="1"/>
    <xf numFmtId="43" fontId="16" fillId="26" borderId="41" xfId="0" applyNumberFormat="1" applyFont="1" applyFill="1" applyBorder="1"/>
    <xf numFmtId="43" fontId="16" fillId="0" borderId="41" xfId="0" applyNumberFormat="1" applyFont="1" applyBorder="1"/>
    <xf numFmtId="43" fontId="55" fillId="26" borderId="41" xfId="0" applyNumberFormat="1" applyFont="1" applyFill="1" applyBorder="1"/>
    <xf numFmtId="43" fontId="15" fillId="26" borderId="41" xfId="0" applyNumberFormat="1" applyFont="1" applyFill="1" applyBorder="1"/>
    <xf numFmtId="165" fontId="16" fillId="0" borderId="41" xfId="195" applyFont="1" applyBorder="1"/>
    <xf numFmtId="43" fontId="55" fillId="27" borderId="41" xfId="0" applyNumberFormat="1" applyFont="1" applyFill="1" applyBorder="1"/>
    <xf numFmtId="0" fontId="50" fillId="32" borderId="30" xfId="0" applyFont="1" applyFill="1" applyBorder="1" applyAlignment="1">
      <alignment horizontal="center"/>
    </xf>
    <xf numFmtId="1" fontId="16" fillId="26" borderId="41" xfId="0" applyNumberFormat="1" applyFont="1" applyFill="1" applyBorder="1"/>
    <xf numFmtId="43" fontId="16" fillId="26" borderId="41" xfId="66" applyFont="1" applyFill="1" applyBorder="1"/>
    <xf numFmtId="1" fontId="16" fillId="0" borderId="41" xfId="0" applyNumberFormat="1" applyFont="1" applyBorder="1" applyAlignment="1">
      <alignment horizontal="center"/>
    </xf>
    <xf numFmtId="43" fontId="16" fillId="36" borderId="41" xfId="0" applyNumberFormat="1" applyFont="1" applyFill="1" applyBorder="1"/>
    <xf numFmtId="1" fontId="16" fillId="0" borderId="41" xfId="0" applyNumberFormat="1" applyFont="1" applyBorder="1"/>
    <xf numFmtId="0" fontId="0" fillId="0" borderId="41" xfId="0" applyBorder="1"/>
    <xf numFmtId="0" fontId="75" fillId="0" borderId="41" xfId="0" applyFont="1" applyBorder="1"/>
    <xf numFmtId="165" fontId="13" fillId="36" borderId="0" xfId="193" applyFill="1"/>
    <xf numFmtId="165" fontId="13" fillId="36" borderId="0" xfId="193" applyFill="1" applyBorder="1"/>
    <xf numFmtId="165" fontId="13" fillId="36" borderId="56" xfId="193" applyFill="1" applyBorder="1"/>
    <xf numFmtId="165" fontId="15" fillId="26" borderId="14" xfId="66" applyNumberFormat="1" applyFont="1" applyFill="1" applyBorder="1" applyAlignment="1">
      <alignment horizontal="center"/>
    </xf>
    <xf numFmtId="1" fontId="61" fillId="42" borderId="15" xfId="0" applyNumberFormat="1" applyFont="1" applyFill="1" applyBorder="1"/>
    <xf numFmtId="182" fontId="0" fillId="0" borderId="49" xfId="0" applyNumberFormat="1" applyBorder="1"/>
    <xf numFmtId="1" fontId="16" fillId="43" borderId="41" xfId="0" applyNumberFormat="1" applyFont="1" applyFill="1" applyBorder="1"/>
    <xf numFmtId="165" fontId="65" fillId="26" borderId="0" xfId="195" applyFont="1" applyFill="1"/>
    <xf numFmtId="164" fontId="16" fillId="26" borderId="57" xfId="0" applyNumberFormat="1" applyFont="1" applyFill="1" applyBorder="1"/>
    <xf numFmtId="165" fontId="16" fillId="44" borderId="25" xfId="195" applyFont="1" applyFill="1" applyBorder="1"/>
    <xf numFmtId="165" fontId="16" fillId="45" borderId="15" xfId="195" applyFont="1" applyFill="1" applyBorder="1" applyAlignment="1">
      <alignment horizontal="center"/>
    </xf>
    <xf numFmtId="0" fontId="0" fillId="36" borderId="0" xfId="0" applyFill="1"/>
    <xf numFmtId="43" fontId="0" fillId="36" borderId="0" xfId="0" applyNumberFormat="1" applyFill="1"/>
    <xf numFmtId="43" fontId="0" fillId="36" borderId="0" xfId="66" applyFont="1" applyFill="1"/>
    <xf numFmtId="165" fontId="0" fillId="36" borderId="0" xfId="0" applyNumberFormat="1" applyFill="1"/>
    <xf numFmtId="0" fontId="46" fillId="26" borderId="24" xfId="0" applyFont="1" applyFill="1" applyBorder="1" applyAlignment="1">
      <alignment horizontal="center" vertical="center"/>
    </xf>
    <xf numFmtId="0" fontId="46" fillId="26" borderId="34" xfId="0" applyFont="1" applyFill="1" applyBorder="1" applyAlignment="1">
      <alignment horizontal="center" vertical="center"/>
    </xf>
    <xf numFmtId="0" fontId="45" fillId="28" borderId="39" xfId="0" applyFont="1" applyFill="1" applyBorder="1" applyAlignment="1">
      <alignment horizontal="center"/>
    </xf>
    <xf numFmtId="0" fontId="45" fillId="28" borderId="40" xfId="0" applyFont="1" applyFill="1" applyBorder="1" applyAlignment="1">
      <alignment horizontal="center"/>
    </xf>
    <xf numFmtId="43" fontId="16" fillId="31" borderId="33" xfId="71" applyFont="1" applyFill="1" applyBorder="1" applyAlignment="1">
      <alignment horizontal="center"/>
    </xf>
    <xf numFmtId="43" fontId="16" fillId="31" borderId="20" xfId="71" applyFont="1" applyFill="1" applyBorder="1" applyAlignment="1">
      <alignment horizontal="center"/>
    </xf>
    <xf numFmtId="0" fontId="53" fillId="30" borderId="32" xfId="0" applyFont="1" applyFill="1" applyBorder="1" applyAlignment="1">
      <alignment horizontal="center"/>
    </xf>
    <xf numFmtId="0" fontId="53" fillId="30" borderId="33" xfId="0" applyFont="1" applyFill="1" applyBorder="1" applyAlignment="1">
      <alignment horizontal="center"/>
    </xf>
    <xf numFmtId="0" fontId="46" fillId="32" borderId="24" xfId="0" applyFont="1" applyFill="1" applyBorder="1" applyAlignment="1">
      <alignment horizontal="center" vertical="center" wrapText="1"/>
    </xf>
    <xf numFmtId="0" fontId="46" fillId="32" borderId="26" xfId="0" applyFont="1" applyFill="1" applyBorder="1" applyAlignment="1">
      <alignment horizontal="center" vertical="center" wrapText="1"/>
    </xf>
    <xf numFmtId="0" fontId="46" fillId="32" borderId="34" xfId="0" applyFont="1" applyFill="1" applyBorder="1" applyAlignment="1">
      <alignment horizontal="center" vertical="center" wrapText="1"/>
    </xf>
    <xf numFmtId="165" fontId="54" fillId="30" borderId="24" xfId="195" applyFont="1" applyFill="1" applyBorder="1" applyAlignment="1">
      <alignment horizontal="center" vertical="center"/>
    </xf>
    <xf numFmtId="165" fontId="54" fillId="30" borderId="26" xfId="195" applyFont="1" applyFill="1" applyBorder="1" applyAlignment="1">
      <alignment horizontal="center" vertical="center"/>
    </xf>
    <xf numFmtId="165" fontId="54" fillId="30" borderId="34" xfId="195" applyFont="1" applyFill="1" applyBorder="1" applyAlignment="1">
      <alignment horizontal="center" vertical="center"/>
    </xf>
    <xf numFmtId="0" fontId="15" fillId="26" borderId="24" xfId="0" applyFont="1" applyFill="1" applyBorder="1" applyAlignment="1">
      <alignment horizontal="center" vertical="center" wrapText="1"/>
    </xf>
    <xf numFmtId="0" fontId="15" fillId="26" borderId="34" xfId="0" applyFont="1" applyFill="1" applyBorder="1" applyAlignment="1">
      <alignment horizontal="center" vertical="center" wrapText="1"/>
    </xf>
    <xf numFmtId="0" fontId="46" fillId="26" borderId="24" xfId="0" applyFont="1" applyFill="1" applyBorder="1" applyAlignment="1">
      <alignment horizontal="center" vertical="center" wrapText="1"/>
    </xf>
    <xf numFmtId="0" fontId="46" fillId="26" borderId="34" xfId="0" applyFont="1" applyFill="1" applyBorder="1" applyAlignment="1">
      <alignment horizontal="center" vertical="center" wrapText="1"/>
    </xf>
    <xf numFmtId="0" fontId="46" fillId="26" borderId="29" xfId="0" applyFont="1" applyFill="1" applyBorder="1" applyAlignment="1">
      <alignment horizontal="center" vertical="center" wrapText="1"/>
    </xf>
    <xf numFmtId="0" fontId="46" fillId="26" borderId="31" xfId="0" applyFont="1" applyFill="1" applyBorder="1" applyAlignment="1">
      <alignment horizontal="center" vertical="center" wrapText="1"/>
    </xf>
    <xf numFmtId="1" fontId="46" fillId="26" borderId="24" xfId="0" applyNumberFormat="1" applyFont="1" applyFill="1" applyBorder="1" applyAlignment="1">
      <alignment horizontal="center" vertical="center"/>
    </xf>
    <xf numFmtId="1" fontId="46" fillId="26" borderId="34" xfId="0" applyNumberFormat="1" applyFont="1" applyFill="1" applyBorder="1" applyAlignment="1">
      <alignment horizontal="center" vertical="center"/>
    </xf>
    <xf numFmtId="43" fontId="15" fillId="33" borderId="33" xfId="71" applyFont="1" applyFill="1" applyBorder="1" applyAlignment="1">
      <alignment horizontal="center"/>
    </xf>
    <xf numFmtId="43" fontId="15" fillId="33" borderId="20" xfId="71" applyFont="1" applyFill="1" applyBorder="1" applyAlignment="1">
      <alignment horizontal="center"/>
    </xf>
    <xf numFmtId="0" fontId="54" fillId="30" borderId="24" xfId="0" applyFont="1" applyFill="1" applyBorder="1" applyAlignment="1">
      <alignment horizontal="center" vertical="center"/>
    </xf>
    <xf numFmtId="0" fontId="54" fillId="30" borderId="26" xfId="0" applyFont="1" applyFill="1" applyBorder="1" applyAlignment="1">
      <alignment horizontal="center" vertical="center"/>
    </xf>
    <xf numFmtId="0" fontId="54" fillId="30" borderId="34" xfId="0" applyFont="1" applyFill="1" applyBorder="1" applyAlignment="1">
      <alignment horizontal="center" vertical="center"/>
    </xf>
    <xf numFmtId="0" fontId="46" fillId="26" borderId="35" xfId="0" applyFont="1" applyFill="1" applyBorder="1" applyAlignment="1">
      <alignment horizontal="center" vertical="center" wrapText="1"/>
    </xf>
    <xf numFmtId="0" fontId="46" fillId="26" borderId="36" xfId="0" applyFont="1" applyFill="1" applyBorder="1" applyAlignment="1">
      <alignment horizontal="center" vertical="center" wrapText="1"/>
    </xf>
    <xf numFmtId="0" fontId="15" fillId="26" borderId="37" xfId="0" applyFont="1" applyFill="1" applyBorder="1" applyAlignment="1">
      <alignment horizontal="center" vertical="center" wrapText="1"/>
    </xf>
    <xf numFmtId="0" fontId="15" fillId="26" borderId="38" xfId="0" applyFont="1" applyFill="1" applyBorder="1" applyAlignment="1">
      <alignment horizontal="center" vertical="center" wrapText="1"/>
    </xf>
    <xf numFmtId="0" fontId="15" fillId="28" borderId="39" xfId="0" applyFont="1" applyFill="1" applyBorder="1" applyAlignment="1">
      <alignment horizontal="center"/>
    </xf>
    <xf numFmtId="0" fontId="15" fillId="28" borderId="40" xfId="0" applyFont="1" applyFill="1" applyBorder="1" applyAlignment="1">
      <alignment horizontal="center"/>
    </xf>
    <xf numFmtId="43" fontId="15" fillId="33" borderId="33" xfId="214" applyFont="1" applyFill="1" applyBorder="1" applyAlignment="1">
      <alignment horizontal="center"/>
    </xf>
    <xf numFmtId="43" fontId="15" fillId="33" borderId="20" xfId="214" applyFont="1" applyFill="1" applyBorder="1" applyAlignment="1">
      <alignment horizontal="center"/>
    </xf>
    <xf numFmtId="0" fontId="73" fillId="0" borderId="0" xfId="0" applyFont="1" applyAlignment="1">
      <alignment horizontal="center"/>
    </xf>
    <xf numFmtId="0" fontId="41" fillId="0" borderId="32" xfId="0" applyFont="1" applyBorder="1" applyAlignment="1">
      <alignment horizontal="center"/>
    </xf>
    <xf numFmtId="0" fontId="41" fillId="0" borderId="20" xfId="0" applyFont="1" applyBorder="1" applyAlignment="1">
      <alignment horizontal="center"/>
    </xf>
    <xf numFmtId="0" fontId="73" fillId="36" borderId="0" xfId="0" applyFont="1" applyFill="1" applyAlignment="1">
      <alignment horizontal="center"/>
    </xf>
    <xf numFmtId="0" fontId="50" fillId="29" borderId="41" xfId="0" applyFont="1" applyFill="1" applyBorder="1" applyAlignment="1">
      <alignment horizontal="center"/>
    </xf>
    <xf numFmtId="0" fontId="49" fillId="26" borderId="41" xfId="191" applyFont="1" applyFill="1" applyBorder="1" applyAlignment="1">
      <alignment horizontal="center"/>
    </xf>
    <xf numFmtId="0" fontId="70" fillId="0" borderId="0" xfId="415" applyFont="1" applyAlignment="1">
      <alignment horizontal="center"/>
    </xf>
    <xf numFmtId="2" fontId="67" fillId="0" borderId="52" xfId="415" applyNumberFormat="1" applyFont="1" applyBorder="1" applyAlignment="1">
      <alignment horizontal="center" vertical="center"/>
    </xf>
    <xf numFmtId="0" fontId="66" fillId="41" borderId="54" xfId="415" applyFont="1" applyFill="1" applyBorder="1" applyAlignment="1">
      <alignment horizontal="center" vertical="center" wrapText="1"/>
    </xf>
    <xf numFmtId="0" fontId="66" fillId="41" borderId="55" xfId="415" applyFont="1" applyFill="1" applyBorder="1" applyAlignment="1">
      <alignment horizontal="center" vertical="center" wrapText="1"/>
    </xf>
    <xf numFmtId="0" fontId="66" fillId="41" borderId="53" xfId="415" applyFont="1" applyFill="1" applyBorder="1" applyAlignment="1">
      <alignment horizontal="center" vertical="center" wrapText="1"/>
    </xf>
    <xf numFmtId="182" fontId="65" fillId="0" borderId="49" xfId="0" applyNumberFormat="1" applyFont="1" applyBorder="1"/>
  </cellXfs>
  <cellStyles count="417">
    <cellStyle name="20% - Énfasis1" xfId="1" builtinId="30" customBuiltin="1"/>
    <cellStyle name="20% - Énfasis1 2" xfId="304" xr:uid="{9B480039-4141-4193-A727-5C9062E03AFD}"/>
    <cellStyle name="20% - Énfasis2" xfId="2" builtinId="34" customBuiltin="1"/>
    <cellStyle name="20% - Énfasis2 2" xfId="3" xr:uid="{00000000-0005-0000-0000-000002000000}"/>
    <cellStyle name="20% - Énfasis2 3" xfId="305" xr:uid="{66BF934B-707B-40FD-B708-3F91E900379A}"/>
    <cellStyle name="20% - Énfasis3" xfId="4" builtinId="38" customBuiltin="1"/>
    <cellStyle name="20% - Énfasis3 2" xfId="306" xr:uid="{30280C22-A199-49AD-9C18-F4F0C5864EC2}"/>
    <cellStyle name="20% - Énfasis4" xfId="5" builtinId="42" customBuiltin="1"/>
    <cellStyle name="20% - Énfasis4 2" xfId="307" xr:uid="{89E4E19B-648E-43AA-BA42-35B0E1168FA8}"/>
    <cellStyle name="20% - Énfasis5" xfId="6" builtinId="46" customBuiltin="1"/>
    <cellStyle name="20% - Énfasis5 2" xfId="308" xr:uid="{C313B786-5CBB-4732-9DA1-E7F6E9E99657}"/>
    <cellStyle name="20% - Énfasis6" xfId="7" builtinId="50" customBuiltin="1"/>
    <cellStyle name="20% - Énfasis6 2" xfId="309" xr:uid="{2A705BA1-E6A4-4F87-9D32-112AAB84B1C7}"/>
    <cellStyle name="40% - Énfasis1" xfId="8" builtinId="31" customBuiltin="1"/>
    <cellStyle name="40% - Énfasis1 2" xfId="310" xr:uid="{E8DCA57D-E1B8-4905-8084-7E0FAB3E4D07}"/>
    <cellStyle name="40% - Énfasis2" xfId="9" builtinId="35" customBuiltin="1"/>
    <cellStyle name="40% - Énfasis2 2" xfId="311" xr:uid="{EA44E1DC-9F88-416E-8BB9-18E046F4D5A1}"/>
    <cellStyle name="40% - Énfasis3" xfId="10" builtinId="39" customBuiltin="1"/>
    <cellStyle name="40% - Énfasis3 2" xfId="312" xr:uid="{A58C4D44-F644-4C98-BB2C-A2269A85CA58}"/>
    <cellStyle name="40% - Énfasis4" xfId="11" builtinId="43" customBuiltin="1"/>
    <cellStyle name="40% - Énfasis4 2" xfId="313" xr:uid="{D82DE59C-6F81-442A-A6E7-64C449691B0D}"/>
    <cellStyle name="40% - Énfasis5" xfId="12" builtinId="47" customBuiltin="1"/>
    <cellStyle name="40% - Énfasis5 2" xfId="314" xr:uid="{A5D117DF-ED01-47FA-BDE9-AC8E598815C8}"/>
    <cellStyle name="40% - Énfasis6" xfId="13" builtinId="51" customBuiltin="1"/>
    <cellStyle name="40% - Énfasis6 2" xfId="315" xr:uid="{A6F3B496-73DE-4608-B439-EA659CFC9108}"/>
    <cellStyle name="60% - Énfasis1" xfId="14" builtinId="32" customBuiltin="1"/>
    <cellStyle name="60% - Énfasis1 2" xfId="316" xr:uid="{4BA37C27-B854-4ED1-B0AB-C92992C0E68C}"/>
    <cellStyle name="60% - Énfasis2" xfId="15" builtinId="36" customBuiltin="1"/>
    <cellStyle name="60% - Énfasis2 2" xfId="317" xr:uid="{8AD643E9-6252-4887-A6CB-7C74CE1E44A0}"/>
    <cellStyle name="60% - Énfasis3" xfId="16" builtinId="40" customBuiltin="1"/>
    <cellStyle name="60% - Énfasis3 2" xfId="318" xr:uid="{93B34191-498C-4BB8-AB30-1E75EA1086EC}"/>
    <cellStyle name="60% - Énfasis4" xfId="17" builtinId="44" customBuiltin="1"/>
    <cellStyle name="60% - Énfasis4 2" xfId="319" xr:uid="{D13A4D7C-D4D8-4083-A633-71EC72A345E1}"/>
    <cellStyle name="60% - Énfasis5" xfId="18" builtinId="48" customBuiltin="1"/>
    <cellStyle name="60% - Énfasis5 2" xfId="320" xr:uid="{6793FED5-FB6D-4C4E-9BDC-6E67A75CB67C}"/>
    <cellStyle name="60% - Énfasis6" xfId="19" builtinId="52" customBuiltin="1"/>
    <cellStyle name="60% - Énfasis6 2" xfId="321" xr:uid="{D6CB60AF-D435-4F07-BFF9-15758995D96B}"/>
    <cellStyle name="Calc Currency (0)" xfId="20" xr:uid="{00000000-0005-0000-0000-000013000000}"/>
    <cellStyle name="Calc Currency (2)" xfId="21" xr:uid="{00000000-0005-0000-0000-000014000000}"/>
    <cellStyle name="Calc Percent (0)" xfId="22" xr:uid="{00000000-0005-0000-0000-000015000000}"/>
    <cellStyle name="Calc Percent (1)" xfId="23" xr:uid="{00000000-0005-0000-0000-000016000000}"/>
    <cellStyle name="Calc Percent (2)" xfId="24" xr:uid="{00000000-0005-0000-0000-000017000000}"/>
    <cellStyle name="Calc Units (0)" xfId="25" xr:uid="{00000000-0005-0000-0000-000018000000}"/>
    <cellStyle name="Calc Units (1)" xfId="26" xr:uid="{00000000-0005-0000-0000-000019000000}"/>
    <cellStyle name="Calc Units (2)" xfId="27" xr:uid="{00000000-0005-0000-0000-00001A000000}"/>
    <cellStyle name="Cálculo" xfId="28" builtinId="22" customBuiltin="1"/>
    <cellStyle name="Cálculo 2" xfId="322" xr:uid="{AD88C542-231A-4995-8016-CAB33E64CD6B}"/>
    <cellStyle name="Celda de comprobación" xfId="29" builtinId="23" customBuiltin="1"/>
    <cellStyle name="Celda de comprobación 2" xfId="323" xr:uid="{6481CC38-7DFB-4DC5-8AD9-F5C41C700FED}"/>
    <cellStyle name="Celda vinculada" xfId="30" builtinId="24" customBuiltin="1"/>
    <cellStyle name="Celda vinculada 2" xfId="324" xr:uid="{3BF17A6F-26EE-445A-9ABA-1F62D8D91711}"/>
    <cellStyle name="Column_Title" xfId="31" xr:uid="{00000000-0005-0000-0000-00001E000000}"/>
    <cellStyle name="Comma [00]" xfId="32" xr:uid="{00000000-0005-0000-0000-00001F000000}"/>
    <cellStyle name="Comma [00] 2" xfId="205" xr:uid="{55E3D349-224D-4A39-A099-CCB6434C7040}"/>
    <cellStyle name="Currency [00]" xfId="33" xr:uid="{00000000-0005-0000-0000-000020000000}"/>
    <cellStyle name="Currency [00] 2" xfId="206" xr:uid="{AFC06F84-2490-4B21-AD6C-13C2B72FD807}"/>
    <cellStyle name="Currency_RECIBOS CAJA" xfId="34" xr:uid="{00000000-0005-0000-0000-000021000000}"/>
    <cellStyle name="Date Short" xfId="35" xr:uid="{00000000-0005-0000-0000-000022000000}"/>
    <cellStyle name="DELTA" xfId="36" xr:uid="{00000000-0005-0000-0000-000023000000}"/>
    <cellStyle name="Encabezado 4" xfId="37" builtinId="19" customBuiltin="1"/>
    <cellStyle name="Encabezado 4 2" xfId="325" xr:uid="{71BE06AC-7776-40BE-B7F8-11BCA029E056}"/>
    <cellStyle name="Énfasis1" xfId="38" builtinId="29" customBuiltin="1"/>
    <cellStyle name="Énfasis1 2" xfId="326" xr:uid="{C1354E57-C70A-4D96-B99F-539CA265A2DD}"/>
    <cellStyle name="Énfasis2" xfId="39" builtinId="33" customBuiltin="1"/>
    <cellStyle name="Énfasis2 2" xfId="327" xr:uid="{DAB3F95E-C76E-4AD8-A5D9-43C2D6AC9AD2}"/>
    <cellStyle name="Énfasis3" xfId="40" builtinId="37" customBuiltin="1"/>
    <cellStyle name="Énfasis3 2" xfId="328" xr:uid="{16F1E67E-13EB-4217-A6A4-D393675850B7}"/>
    <cellStyle name="Énfasis4" xfId="41" builtinId="41" customBuiltin="1"/>
    <cellStyle name="Énfasis4 2" xfId="329" xr:uid="{5410423D-F8C2-4FD5-93E2-AA45537D9B5C}"/>
    <cellStyle name="Énfasis5" xfId="42" builtinId="45" customBuiltin="1"/>
    <cellStyle name="Énfasis5 2" xfId="330" xr:uid="{0E973593-8FE9-4CDB-A613-6597E200B509}"/>
    <cellStyle name="Énfasis6" xfId="43" builtinId="49" customBuiltin="1"/>
    <cellStyle name="Énfasis6 2" xfId="331" xr:uid="{2C446B0B-FDD0-47B0-89BC-E74430217B35}"/>
    <cellStyle name="Enter Currency (0)" xfId="44" xr:uid="{00000000-0005-0000-0000-00002B000000}"/>
    <cellStyle name="Enter Currency (2)" xfId="45" xr:uid="{00000000-0005-0000-0000-00002C000000}"/>
    <cellStyle name="Enter Units (0)" xfId="46" xr:uid="{00000000-0005-0000-0000-00002D000000}"/>
    <cellStyle name="Enter Units (1)" xfId="47" xr:uid="{00000000-0005-0000-0000-00002E000000}"/>
    <cellStyle name="Enter Units (2)" xfId="48" xr:uid="{00000000-0005-0000-0000-00002F000000}"/>
    <cellStyle name="Entrada" xfId="49" builtinId="20" customBuiltin="1"/>
    <cellStyle name="Entrada 2" xfId="332" xr:uid="{13A552C6-A0C7-4D11-BB14-CE52620703E5}"/>
    <cellStyle name="Euro" xfId="50" xr:uid="{00000000-0005-0000-0000-000031000000}"/>
    <cellStyle name="Euro 2" xfId="51" xr:uid="{00000000-0005-0000-0000-000032000000}"/>
    <cellStyle name="Euro 2 2" xfId="207" xr:uid="{9651B7CC-8B91-4179-B811-426E8186D398}"/>
    <cellStyle name="Euro 3" xfId="52" xr:uid="{00000000-0005-0000-0000-000033000000}"/>
    <cellStyle name="Euro 3 2" xfId="208" xr:uid="{D46A0EFD-FADB-4CA3-BC47-B035CA924FA7}"/>
    <cellStyle name="Euro_COSTO NOMINA AUSTRAL" xfId="53" xr:uid="{00000000-0005-0000-0000-000034000000}"/>
    <cellStyle name="Grey" xfId="54" xr:uid="{00000000-0005-0000-0000-000035000000}"/>
    <cellStyle name="Grey 2" xfId="55" xr:uid="{00000000-0005-0000-0000-000036000000}"/>
    <cellStyle name="Header1" xfId="56" xr:uid="{00000000-0005-0000-0000-000037000000}"/>
    <cellStyle name="Header2" xfId="57" xr:uid="{00000000-0005-0000-0000-000038000000}"/>
    <cellStyle name="Incorrecto" xfId="58" builtinId="27" customBuiltin="1"/>
    <cellStyle name="Incorrecto 2" xfId="333" xr:uid="{5977E111-D6D9-4151-A562-49A4092E53D1}"/>
    <cellStyle name="Input [yellow]" xfId="59" xr:uid="{00000000-0005-0000-0000-00003A000000}"/>
    <cellStyle name="Input [yellow] 2" xfId="60" xr:uid="{00000000-0005-0000-0000-00003B000000}"/>
    <cellStyle name="Link Currency (0)" xfId="61" xr:uid="{00000000-0005-0000-0000-00003C000000}"/>
    <cellStyle name="Link Currency (2)" xfId="62" xr:uid="{00000000-0005-0000-0000-00003D000000}"/>
    <cellStyle name="Link Units (0)" xfId="63" xr:uid="{00000000-0005-0000-0000-00003E000000}"/>
    <cellStyle name="Link Units (1)" xfId="64" xr:uid="{00000000-0005-0000-0000-00003F000000}"/>
    <cellStyle name="Link Units (2)" xfId="65" xr:uid="{00000000-0005-0000-0000-000040000000}"/>
    <cellStyle name="Millares" xfId="66" builtinId="3"/>
    <cellStyle name="Millares 2" xfId="67" xr:uid="{00000000-0005-0000-0000-000042000000}"/>
    <cellStyle name="Millares 2 2" xfId="68" xr:uid="{00000000-0005-0000-0000-000043000000}"/>
    <cellStyle name="Millares 2 2 2" xfId="211" xr:uid="{FCAFFAD0-34C4-4AED-8286-223C2391C70E}"/>
    <cellStyle name="Millares 2 2 2 2" xfId="363" xr:uid="{8843A866-E51A-4262-9F76-B3A1D77F1B20}"/>
    <cellStyle name="Millares 2 2 3" xfId="336" xr:uid="{E020991E-E5DF-4CE0-9CA0-F579DE0D622F}"/>
    <cellStyle name="Millares 2 2 4" xfId="397" xr:uid="{0A166EBD-9D37-498C-A371-9FB6B0841689}"/>
    <cellStyle name="Millares 2 3" xfId="210" xr:uid="{FB8733CA-5BBD-4F4E-9C9E-AA2E1DC55CAE}"/>
    <cellStyle name="Millares 2 3 2" xfId="362" xr:uid="{4622EDF9-BC55-4073-97CC-DDA4707ACD7B}"/>
    <cellStyle name="Millares 2 4" xfId="335" xr:uid="{A86A01D3-1CD0-4F0C-B3F5-27B15945C333}"/>
    <cellStyle name="Millares 2_PLANTILLA DE PERSONALL (2)" xfId="69" xr:uid="{00000000-0005-0000-0000-000044000000}"/>
    <cellStyle name="Millares 3" xfId="70" xr:uid="{00000000-0005-0000-0000-000045000000}"/>
    <cellStyle name="Millares 3 2" xfId="212" xr:uid="{E9C087E4-D3DA-41B0-8AAC-7685AA753597}"/>
    <cellStyle name="Millares 3 2 2" xfId="364" xr:uid="{E31E0174-B047-4BC2-BF4C-0A6A15B7D2C9}"/>
    <cellStyle name="Millares 3 3" xfId="337" xr:uid="{0F4E94C0-9475-4924-9FD4-A67030FD799F}"/>
    <cellStyle name="Millares 4" xfId="71" xr:uid="{00000000-0005-0000-0000-000046000000}"/>
    <cellStyle name="Millares 4 2" xfId="72" xr:uid="{00000000-0005-0000-0000-000047000000}"/>
    <cellStyle name="Millares 4 2 2" xfId="214" xr:uid="{4FC95928-8831-4207-8875-15BB4DF596EB}"/>
    <cellStyle name="Millares 4 2 2 2" xfId="366" xr:uid="{E3AE0E93-E0B6-4B22-8EAB-25A137C4EA82}"/>
    <cellStyle name="Millares 4 2 3" xfId="339" xr:uid="{05C6AFF0-4261-4FE5-BBC5-97B7D0D1A04A}"/>
    <cellStyle name="Millares 4 3" xfId="213" xr:uid="{B451ADBD-7108-412F-9ACC-B3BAE6A7B093}"/>
    <cellStyle name="Millares 4 3 2" xfId="365" xr:uid="{7E8E7376-0799-4594-9327-2FA26669CFC6}"/>
    <cellStyle name="Millares 4 4" xfId="338" xr:uid="{F45ECED2-8DD4-4BB7-9BEF-11DCAEA66251}"/>
    <cellStyle name="Millares 4 5" xfId="398" xr:uid="{97CC57C5-8B83-4E63-863B-576B0F2AC97C}"/>
    <cellStyle name="Millares 4 6" xfId="402" xr:uid="{30654079-F583-41D1-AFB5-0439FBD2DB7D}"/>
    <cellStyle name="Millares 4 7" xfId="407" xr:uid="{03A08170-354E-4817-90D4-76F4A917E5B9}"/>
    <cellStyle name="Millares 4 8" xfId="412" xr:uid="{7E2D7B94-CD44-4451-8D47-0FC1F44BE894}"/>
    <cellStyle name="Millares 5" xfId="285" xr:uid="{F5479FF6-3366-4703-97A2-DBDF5C5A75BD}"/>
    <cellStyle name="Millares 5 2" xfId="375" xr:uid="{E999CC35-A3D2-49EC-BD74-5D69073957A1}"/>
    <cellStyle name="Millares 6" xfId="287" xr:uid="{5A489913-4995-41C9-9150-A415A1A0E9F6}"/>
    <cellStyle name="Millares 6 2" xfId="377" xr:uid="{FAB8BF52-817A-4652-90A2-5ECC5D21247F}"/>
    <cellStyle name="Millares 6 3" xfId="416" xr:uid="{31E7599E-2194-4BAD-8644-DA89C8A6EFF6}"/>
    <cellStyle name="Millares 7" xfId="209" xr:uid="{8D167F85-C446-477B-B4EA-6A66562FBD38}"/>
    <cellStyle name="Millares 7 2" xfId="361" xr:uid="{CCC8ADA4-951F-496B-A4AE-EAFBB92E1FD4}"/>
    <cellStyle name="Millares 8" xfId="334" xr:uid="{981407AF-8B83-44FE-B945-E431DBE7CC09}"/>
    <cellStyle name="Moneda" xfId="195" builtinId="4"/>
    <cellStyle name="Moneda 10" xfId="356" xr:uid="{193798F1-5420-4D3B-8926-291A1CEDDF27}"/>
    <cellStyle name="Moneda 11" xfId="302" xr:uid="{B7AB94AF-BE6C-4C6D-86DB-448A895D21D7}"/>
    <cellStyle name="Moneda 12" xfId="388" xr:uid="{123FACED-050B-4D06-99B1-A54503516F64}"/>
    <cellStyle name="Moneda 13" xfId="392" xr:uid="{93EC722B-2CBF-49A7-B719-2DEA5FBB9525}"/>
    <cellStyle name="Moneda 14" xfId="394" xr:uid="{DBBE7DE6-DEA9-4FD9-8ACC-FFB66F7BA9D3}"/>
    <cellStyle name="Moneda 15" xfId="396" xr:uid="{7EBF4C57-F525-415A-81D5-51D9DD1CE897}"/>
    <cellStyle name="Moneda 16" xfId="401" xr:uid="{22FFE432-1719-4A8C-AB27-83144137FD2E}"/>
    <cellStyle name="Moneda 17" xfId="405" xr:uid="{E305C917-9639-434B-878C-FA970C7DEB6F}"/>
    <cellStyle name="Moneda 18" xfId="411" xr:uid="{2F359543-2758-4965-9C4B-99151EF72598}"/>
    <cellStyle name="Moneda 2" xfId="73" xr:uid="{00000000-0005-0000-0000-000049000000}"/>
    <cellStyle name="Moneda 2 2" xfId="74" xr:uid="{00000000-0005-0000-0000-00004A000000}"/>
    <cellStyle name="Moneda 2 2 2" xfId="216" xr:uid="{80149919-1C50-448B-867C-B094998C2D9D}"/>
    <cellStyle name="Moneda 2 2 2 2" xfId="368" xr:uid="{A5846331-7FBD-48B4-B269-2B0EF51590E6}"/>
    <cellStyle name="Moneda 2 2 3" xfId="341" xr:uid="{96FDC215-8838-47AC-A550-61071D363B9B}"/>
    <cellStyle name="Moneda 2 3" xfId="215" xr:uid="{33329F26-6B9D-45CF-BA6D-22072F6AF872}"/>
    <cellStyle name="Moneda 2 3 2" xfId="367" xr:uid="{1939F84F-0413-460E-9F07-8E634B37D33A}"/>
    <cellStyle name="Moneda 2 4" xfId="340" xr:uid="{8B484555-18ED-47E5-8DDC-73DDA6C3F9BD}"/>
    <cellStyle name="Moneda 2 5" xfId="399" xr:uid="{D6C7B064-8DA4-4268-A993-900A60FA1F6A}"/>
    <cellStyle name="Moneda 2 6" xfId="403" xr:uid="{94E8E10E-6BE7-47C6-B508-90A30503918F}"/>
    <cellStyle name="Moneda 2 7" xfId="408" xr:uid="{053F5DEF-DAF8-4322-8E81-8E4A14481910}"/>
    <cellStyle name="Moneda 2 8" xfId="413" xr:uid="{95160796-F364-41BD-92AF-679255844809}"/>
    <cellStyle name="Moneda 3" xfId="75" xr:uid="{00000000-0005-0000-0000-00004B000000}"/>
    <cellStyle name="Moneda 3 2" xfId="217" xr:uid="{25DA935B-4A75-4A68-BB8A-F7B06286219A}"/>
    <cellStyle name="Moneda 3 2 2" xfId="369" xr:uid="{47780D7F-23F5-4526-B7A9-9981F1B5099A}"/>
    <cellStyle name="Moneda 3 3" xfId="342" xr:uid="{E6BBDC73-67D9-41A3-AD24-2B8F3D472E22}"/>
    <cellStyle name="Moneda 4" xfId="193" xr:uid="{00000000-0005-0000-0000-00004C000000}"/>
    <cellStyle name="Moneda 4 2" xfId="282" xr:uid="{79BC70B9-AC55-44B5-B7AB-04C61338004C}"/>
    <cellStyle name="Moneda 4 2 2" xfId="372" xr:uid="{E5B90B17-39F2-4402-AB6A-9FB71C46E1AE}"/>
    <cellStyle name="Moneda 4 3" xfId="355" xr:uid="{24293DB0-CE65-4B5E-9D54-2DA56F1F7F55}"/>
    <cellStyle name="Moneda 5" xfId="192" xr:uid="{00000000-0005-0000-0000-00004D000000}"/>
    <cellStyle name="Moneda 5 2" xfId="281" xr:uid="{BF4162AF-9DB0-46BE-ADF5-23FE6DC0F51A}"/>
    <cellStyle name="Moneda 5 2 2" xfId="371" xr:uid="{C94A8A6C-3A01-421F-BE0F-5745A8E9629C}"/>
    <cellStyle name="Moneda 5 3" xfId="354" xr:uid="{38A4BB5F-47BE-44BB-BD16-FED19EBB5BDE}"/>
    <cellStyle name="Moneda 6" xfId="284" xr:uid="{B37EE215-D130-4964-93A4-EA7DF15B0C9A}"/>
    <cellStyle name="Moneda 6 2" xfId="374" xr:uid="{0F182B3C-FFC8-4248-B583-E7E9477A582F}"/>
    <cellStyle name="Moneda 7" xfId="288" xr:uid="{2133CE31-00C1-45D2-A4F8-54726691C760}"/>
    <cellStyle name="Moneda 7 2" xfId="378" xr:uid="{C2D99F35-BC8A-4921-B836-DC12D4941FC0}"/>
    <cellStyle name="Moneda 8" xfId="289" xr:uid="{E9395053-0DA8-4226-B2B1-2B6515138B72}"/>
    <cellStyle name="Moneda 8 2" xfId="379" xr:uid="{7C4AC8C6-A269-4DC2-BEEE-96A8D86C8047}"/>
    <cellStyle name="Moneda 9" xfId="292" xr:uid="{C200ED23-0EA4-4A5B-A6FC-90A9D5EFC096}"/>
    <cellStyle name="Moneda 9 2" xfId="382" xr:uid="{F00ADA3B-6044-42B8-B3B2-82DC9CF657AD}"/>
    <cellStyle name="Neutral" xfId="76" builtinId="28" customBuiltin="1"/>
    <cellStyle name="Neutral 2" xfId="343" xr:uid="{6FC99DF0-68EC-4B09-9C35-D16FC4CB605A}"/>
    <cellStyle name="Normal" xfId="0" builtinId="0"/>
    <cellStyle name="Normal - Style1" xfId="77" xr:uid="{00000000-0005-0000-0000-000050000000}"/>
    <cellStyle name="Normal 10" xfId="78" xr:uid="{00000000-0005-0000-0000-000051000000}"/>
    <cellStyle name="Normal 10 2" xfId="218" xr:uid="{3790E9C2-CB2A-4FD3-BAB6-5AB4D3F6BD38}"/>
    <cellStyle name="Normal 11" xfId="283" xr:uid="{F119FAE6-9C51-4093-8CA2-90C6CFD00B9D}"/>
    <cellStyle name="Normal 11 2" xfId="373" xr:uid="{76D98F8C-C148-4A5F-B07E-046ECC1E0576}"/>
    <cellStyle name="Normal 12" xfId="79" xr:uid="{00000000-0005-0000-0000-000052000000}"/>
    <cellStyle name="Normal 12 2" xfId="219" xr:uid="{34F9F65C-465E-4281-8474-30E158BB5A01}"/>
    <cellStyle name="Normal 13" xfId="194" xr:uid="{00000000-0005-0000-0000-000053000000}"/>
    <cellStyle name="Normal 14" xfId="286" xr:uid="{8B8C4C78-D1D4-4382-92E4-072C8C02EC54}"/>
    <cellStyle name="Normal 14 2" xfId="376" xr:uid="{4B18AFF4-9D8B-4B31-8D59-CD88BD22F266}"/>
    <cellStyle name="Normal 14 3" xfId="415" xr:uid="{67ADAACB-9EC3-44B1-A651-804AB38DD107}"/>
    <cellStyle name="Normal 15" xfId="204" xr:uid="{E9BE009D-8922-482B-888D-16EEEEEEB1A4}"/>
    <cellStyle name="Normal 16" xfId="279" xr:uid="{E3889BE0-F0E4-4B62-AA91-CB629962D5C3}"/>
    <cellStyle name="Normal 17" xfId="291" xr:uid="{F953F001-B752-4AF8-B699-663371AA1FF8}"/>
    <cellStyle name="Normal 17 2" xfId="203" xr:uid="{F3196AA4-E0D0-4E29-9A72-9A07B896FF37}"/>
    <cellStyle name="Normal 17 3" xfId="381" xr:uid="{72C37E66-998A-431E-A173-07C7C9A8B485}"/>
    <cellStyle name="Normal 18" xfId="293" xr:uid="{2BACCE3A-D157-4770-AEE8-0B0BCDB306BA}"/>
    <cellStyle name="Normal 18 2" xfId="383" xr:uid="{1FF95F03-CA08-4E2E-A365-5437018D0ABB}"/>
    <cellStyle name="Normal 19" xfId="295" xr:uid="{F48BA3B9-F2D7-4FBC-BCBC-FED17D00BC14}"/>
    <cellStyle name="Normal 19 2" xfId="384" xr:uid="{01ABD2C2-628A-45D4-AC30-5AE12F612A61}"/>
    <cellStyle name="Normal 2" xfId="80" xr:uid="{00000000-0005-0000-0000-000054000000}"/>
    <cellStyle name="Normal 2 10" xfId="81" xr:uid="{00000000-0005-0000-0000-000055000000}"/>
    <cellStyle name="Normal 2 10 2" xfId="82" xr:uid="{00000000-0005-0000-0000-000056000000}"/>
    <cellStyle name="Normal 2 10 2 2" xfId="222" xr:uid="{5D1F8854-0357-40F8-8A62-895201B38EAD}"/>
    <cellStyle name="Normal 2 10 3" xfId="221" xr:uid="{8B45C069-DF3F-4432-8878-CF852CD14FFE}"/>
    <cellStyle name="Normal 2 10_ALTA CALIDAD 2012" xfId="83" xr:uid="{00000000-0005-0000-0000-000057000000}"/>
    <cellStyle name="Normal 2 11" xfId="84" xr:uid="{00000000-0005-0000-0000-000058000000}"/>
    <cellStyle name="Normal 2 11 2" xfId="223" xr:uid="{9A184EA4-D7CB-492A-BE09-B25EB87AEEA8}"/>
    <cellStyle name="Normal 2 12" xfId="197" xr:uid="{231B4353-1688-4B04-A609-74175482B59C}"/>
    <cellStyle name="Normal 2 13" xfId="200" xr:uid="{35F335DA-F69B-47DD-92AD-E2C00CE06E09}"/>
    <cellStyle name="Normal 2 14" xfId="199" xr:uid="{E6EB0917-5531-4D30-89E3-64E3EB65ABE7}"/>
    <cellStyle name="Normal 2 15" xfId="220" xr:uid="{7F82CFB1-6CF7-4FAC-83A8-0EFFDBAD303C}"/>
    <cellStyle name="Normal 2 16" xfId="294" xr:uid="{6F641232-D743-4CD1-A99A-83A7A6903A88}"/>
    <cellStyle name="Normal 2 17" xfId="296" xr:uid="{004F3534-1C6F-4079-BEEC-65F3EC946932}"/>
    <cellStyle name="Normal 2 18" xfId="298" xr:uid="{0395E64F-5C7A-439E-9960-A0E3852484CC}"/>
    <cellStyle name="Normal 2 19" xfId="300" xr:uid="{BFAED50F-9629-4019-81B2-65586DED29C2}"/>
    <cellStyle name="Normal 2 2" xfId="85" xr:uid="{00000000-0005-0000-0000-000059000000}"/>
    <cellStyle name="Normal 2 2 2" xfId="86" xr:uid="{00000000-0005-0000-0000-00005A000000}"/>
    <cellStyle name="Normal 2 2 2 2" xfId="225" xr:uid="{645A8A07-87D4-4E4D-A9DE-D8601B414960}"/>
    <cellStyle name="Normal 2 2 3" xfId="224" xr:uid="{3D9E3097-4C93-4786-8E78-04A615C1BFD9}"/>
    <cellStyle name="Normal 2 2_ALTA CALIDAD 2012" xfId="87" xr:uid="{00000000-0005-0000-0000-00005B000000}"/>
    <cellStyle name="Normal 2 3" xfId="88" xr:uid="{00000000-0005-0000-0000-00005C000000}"/>
    <cellStyle name="Normal 2 3 2" xfId="89" xr:uid="{00000000-0005-0000-0000-00005D000000}"/>
    <cellStyle name="Normal 2 3 2 2" xfId="227" xr:uid="{D3DA39E6-4435-41A2-8B93-1EF73EC4EC7E}"/>
    <cellStyle name="Normal 2 3 3" xfId="226" xr:uid="{F4CDDC27-84C2-400C-A175-FE096AE1C2EA}"/>
    <cellStyle name="Normal 2 3_ALTA CALIDAD 2012" xfId="90" xr:uid="{00000000-0005-0000-0000-00005E000000}"/>
    <cellStyle name="Normal 2 4" xfId="91" xr:uid="{00000000-0005-0000-0000-00005F000000}"/>
    <cellStyle name="Normal 2 4 2" xfId="92" xr:uid="{00000000-0005-0000-0000-000060000000}"/>
    <cellStyle name="Normal 2 4 2 2" xfId="229" xr:uid="{CD2C33CC-C540-4616-B0B0-11BA1B048C70}"/>
    <cellStyle name="Normal 2 4 3" xfId="228" xr:uid="{DEAF8C7C-3230-424D-8B4E-D8A2D31BD9D2}"/>
    <cellStyle name="Normal 2 4_ALTA CALIDAD 2012" xfId="93" xr:uid="{00000000-0005-0000-0000-000061000000}"/>
    <cellStyle name="Normal 2 5" xfId="94" xr:uid="{00000000-0005-0000-0000-000062000000}"/>
    <cellStyle name="Normal 2 5 2" xfId="95" xr:uid="{00000000-0005-0000-0000-000063000000}"/>
    <cellStyle name="Normal 2 5 2 2" xfId="231" xr:uid="{53C9E279-4F79-4E07-95F3-5EDE9EC4C503}"/>
    <cellStyle name="Normal 2 5 3" xfId="230" xr:uid="{74B432E1-DF67-4DC5-9CEC-F04261065314}"/>
    <cellStyle name="Normal 2 5_ALTA CALIDAD 2012" xfId="96" xr:uid="{00000000-0005-0000-0000-000064000000}"/>
    <cellStyle name="Normal 2 6" xfId="97" xr:uid="{00000000-0005-0000-0000-000065000000}"/>
    <cellStyle name="Normal 2 6 2" xfId="98" xr:uid="{00000000-0005-0000-0000-000066000000}"/>
    <cellStyle name="Normal 2 6 2 2" xfId="233" xr:uid="{086113DE-657E-4FB3-B35B-5F2BD99AF395}"/>
    <cellStyle name="Normal 2 6 3" xfId="232" xr:uid="{380366E4-87C6-4275-A85D-67A0A32AD1F2}"/>
    <cellStyle name="Normal 2 6_ALTA CALIDAD 2012" xfId="99" xr:uid="{00000000-0005-0000-0000-000067000000}"/>
    <cellStyle name="Normal 2 7" xfId="100" xr:uid="{00000000-0005-0000-0000-000068000000}"/>
    <cellStyle name="Normal 2 7 2" xfId="101" xr:uid="{00000000-0005-0000-0000-000069000000}"/>
    <cellStyle name="Normal 2 7 2 2" xfId="235" xr:uid="{0C0F5A69-CBE9-4526-98D1-57F2515ACBEE}"/>
    <cellStyle name="Normal 2 7 3" xfId="234" xr:uid="{7547831C-0799-40D9-BC38-731F4B149059}"/>
    <cellStyle name="Normal 2 7_ALTA CALIDAD 2012" xfId="102" xr:uid="{00000000-0005-0000-0000-00006A000000}"/>
    <cellStyle name="Normal 2 8" xfId="103" xr:uid="{00000000-0005-0000-0000-00006B000000}"/>
    <cellStyle name="Normal 2 8 2" xfId="104" xr:uid="{00000000-0005-0000-0000-00006C000000}"/>
    <cellStyle name="Normal 2 8 2 2" xfId="237" xr:uid="{7239E0FB-9A06-45B3-AA19-9003E9FC15B3}"/>
    <cellStyle name="Normal 2 8 3" xfId="236" xr:uid="{4B4AA082-5695-41A6-8470-9BF89AE55100}"/>
    <cellStyle name="Normal 2 8_ALTA CALIDAD 2012" xfId="105" xr:uid="{00000000-0005-0000-0000-00006D000000}"/>
    <cellStyle name="Normal 2 9" xfId="106" xr:uid="{00000000-0005-0000-0000-00006E000000}"/>
    <cellStyle name="Normal 2 9 2" xfId="107" xr:uid="{00000000-0005-0000-0000-00006F000000}"/>
    <cellStyle name="Normal 2 9 2 2" xfId="239" xr:uid="{91BBE86B-F9F7-4085-99AB-3CAA25E47062}"/>
    <cellStyle name="Normal 2 9 3" xfId="238" xr:uid="{5ECB9C3D-BCD9-44DD-83CB-4B77F72B29A9}"/>
    <cellStyle name="Normal 2 9_ALTA CALIDAD 2012" xfId="108" xr:uid="{00000000-0005-0000-0000-000070000000}"/>
    <cellStyle name="Normal 2_ALTA CALIDAD 2012" xfId="109" xr:uid="{00000000-0005-0000-0000-000071000000}"/>
    <cellStyle name="Normal 20" xfId="297" xr:uid="{753F10C1-2715-4D1C-91EC-56EC3C08F7F6}"/>
    <cellStyle name="Normal 20 2" xfId="385" xr:uid="{19732F92-5300-4FA1-8BED-E30E6216BDA0}"/>
    <cellStyle name="Normal 21" xfId="299" xr:uid="{44242CFC-EAC3-4F97-86CF-DD9100B98150}"/>
    <cellStyle name="Normal 21 2" xfId="386" xr:uid="{4F7F9D66-F28C-478E-BC42-AFA849E60357}"/>
    <cellStyle name="Normal 22" xfId="303" xr:uid="{889C92C9-65E0-40B7-AB7D-0D666B2D0EF0}"/>
    <cellStyle name="Normal 23" xfId="301" xr:uid="{6431318E-EBAB-41DA-B459-AB0A3530796F}"/>
    <cellStyle name="Normal 24" xfId="346" xr:uid="{D075738E-C138-4F6D-BF4C-E9A7B82359B5}"/>
    <cellStyle name="Normal 25" xfId="387" xr:uid="{E8E839FB-4951-4DBE-A2E4-46BE8B8325E7}"/>
    <cellStyle name="Normal 26" xfId="389" xr:uid="{4A52CF6D-7E9F-41A1-8AA4-033248B37783}"/>
    <cellStyle name="Normal 27" xfId="390" xr:uid="{F5632948-1701-42E0-8F83-29C893418569}"/>
    <cellStyle name="Normal 28" xfId="391" xr:uid="{E8D0DC4E-F989-46C0-A44B-C60B43CA43DF}"/>
    <cellStyle name="Normal 29" xfId="393" xr:uid="{1274A6BD-EEE6-4E6B-904C-F6C197C6F540}"/>
    <cellStyle name="Normal 3" xfId="110" xr:uid="{00000000-0005-0000-0000-000072000000}"/>
    <cellStyle name="Normal 3 2" xfId="111" xr:uid="{00000000-0005-0000-0000-000073000000}"/>
    <cellStyle name="Normal 3 2 2" xfId="112" xr:uid="{00000000-0005-0000-0000-000074000000}"/>
    <cellStyle name="Normal 3 2 2 2" xfId="241" xr:uid="{A1BCDCB3-70D8-47AE-B031-6ED75F75B342}"/>
    <cellStyle name="Normal 3 2 3" xfId="240" xr:uid="{A0B6EE62-4120-4BBE-9CEF-7D475DDD7950}"/>
    <cellStyle name="Normal 3 2_ALTA CALIDAD 2012" xfId="113" xr:uid="{00000000-0005-0000-0000-000075000000}"/>
    <cellStyle name="Normal 3 3" xfId="114" xr:uid="{00000000-0005-0000-0000-000076000000}"/>
    <cellStyle name="Normal 3 3 2" xfId="115" xr:uid="{00000000-0005-0000-0000-000077000000}"/>
    <cellStyle name="Normal 3 3 2 2" xfId="243" xr:uid="{88122D09-4C4E-4E27-A29C-017CE120B726}"/>
    <cellStyle name="Normal 3 3 3" xfId="242" xr:uid="{C261DD94-9DF1-467D-A44F-27551214B882}"/>
    <cellStyle name="Normal 3 3_ALTA CALIDAD 2012" xfId="116" xr:uid="{00000000-0005-0000-0000-000078000000}"/>
    <cellStyle name="Normal 3 4" xfId="117" xr:uid="{00000000-0005-0000-0000-000079000000}"/>
    <cellStyle name="Normal 3 4 2" xfId="118" xr:uid="{00000000-0005-0000-0000-00007A000000}"/>
    <cellStyle name="Normal 3 4 2 2" xfId="245" xr:uid="{AC75DC7E-2F02-499C-9DC8-A8B75439EDED}"/>
    <cellStyle name="Normal 3 4 3" xfId="244" xr:uid="{113542DA-AFED-4AF8-9558-7304C02BDBB9}"/>
    <cellStyle name="Normal 3 4_ALTA CALIDAD 2012" xfId="119" xr:uid="{00000000-0005-0000-0000-00007B000000}"/>
    <cellStyle name="Normal 3 5" xfId="198" xr:uid="{E98AFD49-1E39-422B-8C05-02DBDFB4074D}"/>
    <cellStyle name="Normal 3 5 2" xfId="358" xr:uid="{329609AC-119A-4E69-9F05-8C81A7A2F426}"/>
    <cellStyle name="Normal 3 6" xfId="201" xr:uid="{980557AF-72AF-4215-B473-1525FE300052}"/>
    <cellStyle name="Normal 3 6 2" xfId="359" xr:uid="{B63545ED-177D-4231-A063-952AED685B38}"/>
    <cellStyle name="Normal 3 7" xfId="202" xr:uid="{BFE60904-EB77-42E3-8A86-C75628F256A8}"/>
    <cellStyle name="Normal 3 7 2" xfId="360" xr:uid="{AF670BDD-4336-4E88-B89A-3E1CF633FF5C}"/>
    <cellStyle name="Normal 3_PLANTILLA DE PERSONALL (2)" xfId="120" xr:uid="{00000000-0005-0000-0000-00007C000000}"/>
    <cellStyle name="Normal 30" xfId="395" xr:uid="{D969F828-E4AA-41D6-B637-2E84B5D94FF5}"/>
    <cellStyle name="Normal 31" xfId="400" xr:uid="{E4426056-D4A0-4FAC-AEE5-529DC3095F50}"/>
    <cellStyle name="Normal 32" xfId="404" xr:uid="{21D02570-CF16-4E75-BA79-19E5DD084513}"/>
    <cellStyle name="Normal 33" xfId="406" xr:uid="{F9B61578-DDD0-465D-9A11-DCB9430A5D6F}"/>
    <cellStyle name="Normal 34" xfId="409" xr:uid="{48C71C28-C5C1-401F-B009-661C59553D37}"/>
    <cellStyle name="Normal 35" xfId="410" xr:uid="{E696AA01-4807-4651-8D36-C947413821AC}"/>
    <cellStyle name="Normal 36" xfId="414" xr:uid="{381D2D2B-211A-43FE-950E-1C0228C0C50C}"/>
    <cellStyle name="Normal 4" xfId="121" xr:uid="{00000000-0005-0000-0000-00007D000000}"/>
    <cellStyle name="Normal 4 2" xfId="122" xr:uid="{00000000-0005-0000-0000-00007E000000}"/>
    <cellStyle name="Normal 4 2 2" xfId="123" xr:uid="{00000000-0005-0000-0000-00007F000000}"/>
    <cellStyle name="Normal 4 2 2 2" xfId="248" xr:uid="{9AE53C69-F57A-4AC7-8C84-4849693153A6}"/>
    <cellStyle name="Normal 4 2 3" xfId="247" xr:uid="{EEE782DC-D340-4134-9217-7921106AEA12}"/>
    <cellStyle name="Normal 4 2_ALTA CALIDAD 2012" xfId="124" xr:uid="{00000000-0005-0000-0000-000080000000}"/>
    <cellStyle name="Normal 4 3" xfId="125" xr:uid="{00000000-0005-0000-0000-000081000000}"/>
    <cellStyle name="Normal 4 3 2" xfId="126" xr:uid="{00000000-0005-0000-0000-000082000000}"/>
    <cellStyle name="Normal 4 3 2 2" xfId="250" xr:uid="{F2EDFEC3-68DC-45DC-B2AC-7447A2902508}"/>
    <cellStyle name="Normal 4 3 3" xfId="249" xr:uid="{152AE5C3-2E1C-4F17-9985-41980BCEE9B6}"/>
    <cellStyle name="Normal 4 3_ALTA CALIDAD 2012" xfId="127" xr:uid="{00000000-0005-0000-0000-000083000000}"/>
    <cellStyle name="Normal 4 4" xfId="128" xr:uid="{00000000-0005-0000-0000-000084000000}"/>
    <cellStyle name="Normal 4 4 2" xfId="129" xr:uid="{00000000-0005-0000-0000-000085000000}"/>
    <cellStyle name="Normal 4 4 2 2" xfId="252" xr:uid="{23713403-FF0E-40E1-BF66-99FDA65AABD0}"/>
    <cellStyle name="Normal 4 4 3" xfId="251" xr:uid="{23A0344A-CB4D-4AFD-BAE9-86F544F05A09}"/>
    <cellStyle name="Normal 4 4_ALTA CALIDAD 2012" xfId="130" xr:uid="{00000000-0005-0000-0000-000086000000}"/>
    <cellStyle name="Normal 4 5" xfId="246" xr:uid="{79BBB9E7-7C77-4A2A-A4FD-95BBCD520393}"/>
    <cellStyle name="Normal 4_ALTA CALIDAD 2012" xfId="131" xr:uid="{00000000-0005-0000-0000-000087000000}"/>
    <cellStyle name="Normal 5" xfId="191" xr:uid="{00000000-0005-0000-0000-000088000000}"/>
    <cellStyle name="Normal 5 2" xfId="132" xr:uid="{00000000-0005-0000-0000-000089000000}"/>
    <cellStyle name="Normal 5 2 2" xfId="133" xr:uid="{00000000-0005-0000-0000-00008A000000}"/>
    <cellStyle name="Normal 5 2 2 2" xfId="254" xr:uid="{6353D41B-C9C7-45BA-BCE3-9A4F9227A35C}"/>
    <cellStyle name="Normal 5 2 3" xfId="253" xr:uid="{C5468269-CC4A-4207-A387-970879AAFD17}"/>
    <cellStyle name="Normal 5 2_ALTA CALIDAD 2012" xfId="134" xr:uid="{00000000-0005-0000-0000-00008B000000}"/>
    <cellStyle name="Normal 5 3" xfId="135" xr:uid="{00000000-0005-0000-0000-00008C000000}"/>
    <cellStyle name="Normal 5 3 2" xfId="136" xr:uid="{00000000-0005-0000-0000-00008D000000}"/>
    <cellStyle name="Normal 5 3 2 2" xfId="256" xr:uid="{871C5437-B7E6-4D16-BE85-826E496B3BFE}"/>
    <cellStyle name="Normal 5 3 3" xfId="255" xr:uid="{D1C4DEBF-F24F-4170-9C15-099E5C4A5421}"/>
    <cellStyle name="Normal 5 3_ALTA CALIDAD 2012" xfId="137" xr:uid="{00000000-0005-0000-0000-00008E000000}"/>
    <cellStyle name="Normal 5 4" xfId="138" xr:uid="{00000000-0005-0000-0000-00008F000000}"/>
    <cellStyle name="Normal 5 4 2" xfId="139" xr:uid="{00000000-0005-0000-0000-000090000000}"/>
    <cellStyle name="Normal 5 4 2 2" xfId="258" xr:uid="{56228D72-3632-43FD-BDEB-B2EE8AC4AF9F}"/>
    <cellStyle name="Normal 5 4 3" xfId="257" xr:uid="{368B18AF-D8D2-468D-824B-9944BC87B813}"/>
    <cellStyle name="Normal 5 4_ALTA CALIDAD 2012" xfId="140" xr:uid="{00000000-0005-0000-0000-000091000000}"/>
    <cellStyle name="Normal 5 5" xfId="280" xr:uid="{9510B818-10B3-48D2-8C63-C265966BCE39}"/>
    <cellStyle name="Normal 5 5 2" xfId="370" xr:uid="{60122149-B826-4F37-8F24-3D397801C638}"/>
    <cellStyle name="Normal 5 6" xfId="290" xr:uid="{13146837-1CFE-4044-AEF0-1F07EE40BEF0}"/>
    <cellStyle name="Normal 5 6 2" xfId="380" xr:uid="{E965211D-E21C-4BB6-97B8-466A64192974}"/>
    <cellStyle name="Normal 5 7" xfId="353" xr:uid="{27A94F17-BE19-4AED-8099-DBB35DAA2518}"/>
    <cellStyle name="Normal 6" xfId="141" xr:uid="{00000000-0005-0000-0000-000092000000}"/>
    <cellStyle name="Normal 6 2" xfId="142" xr:uid="{00000000-0005-0000-0000-000093000000}"/>
    <cellStyle name="Normal 6 3" xfId="143" xr:uid="{00000000-0005-0000-0000-000094000000}"/>
    <cellStyle name="Normal 6 4" xfId="144" xr:uid="{00000000-0005-0000-0000-000095000000}"/>
    <cellStyle name="Normal 6 5" xfId="145" xr:uid="{00000000-0005-0000-0000-000096000000}"/>
    <cellStyle name="Normal 6 6" xfId="146" xr:uid="{00000000-0005-0000-0000-000097000000}"/>
    <cellStyle name="Normal 7" xfId="147" xr:uid="{00000000-0005-0000-0000-000098000000}"/>
    <cellStyle name="Normal 7 2" xfId="148" xr:uid="{00000000-0005-0000-0000-000099000000}"/>
    <cellStyle name="Normal 7 2 2" xfId="149" xr:uid="{00000000-0005-0000-0000-00009A000000}"/>
    <cellStyle name="Normal 7 2 2 2" xfId="261" xr:uid="{E09D0991-0107-422F-BC84-713F90B11818}"/>
    <cellStyle name="Normal 7 2 3" xfId="260" xr:uid="{4BDCF427-0F4B-408A-897F-CBF2517191DF}"/>
    <cellStyle name="Normal 7 2_ALTA CALIDAD 2012" xfId="150" xr:uid="{00000000-0005-0000-0000-00009B000000}"/>
    <cellStyle name="Normal 7 3" xfId="151" xr:uid="{00000000-0005-0000-0000-00009C000000}"/>
    <cellStyle name="Normal 7 3 2" xfId="152" xr:uid="{00000000-0005-0000-0000-00009D000000}"/>
    <cellStyle name="Normal 7 3 2 2" xfId="263" xr:uid="{2D51247D-824F-4AEC-A288-C76DC5F7313B}"/>
    <cellStyle name="Normal 7 3 3" xfId="262" xr:uid="{A054B838-E8F6-49A2-A900-6AF8ACBAC9F1}"/>
    <cellStyle name="Normal 7 3_ALTA CALIDAD 2012" xfId="153" xr:uid="{00000000-0005-0000-0000-00009E000000}"/>
    <cellStyle name="Normal 7 4" xfId="154" xr:uid="{00000000-0005-0000-0000-00009F000000}"/>
    <cellStyle name="Normal 7 4 2" xfId="155" xr:uid="{00000000-0005-0000-0000-0000A0000000}"/>
    <cellStyle name="Normal 7 4 2 2" xfId="265" xr:uid="{676A1BEA-46CA-4203-A905-26699AC3980F}"/>
    <cellStyle name="Normal 7 4 3" xfId="264" xr:uid="{34914BCC-07D6-4329-A64D-FDFF0ADD8FE0}"/>
    <cellStyle name="Normal 7 4_ALTA CALIDAD 2012" xfId="156" xr:uid="{00000000-0005-0000-0000-0000A1000000}"/>
    <cellStyle name="Normal 7 5" xfId="259" xr:uid="{16F252F5-AD3B-43EF-815B-AED7E36EA59B}"/>
    <cellStyle name="Normal 8" xfId="157" xr:uid="{00000000-0005-0000-0000-0000A2000000}"/>
    <cellStyle name="Normal 8 2" xfId="158" xr:uid="{00000000-0005-0000-0000-0000A3000000}"/>
    <cellStyle name="Normal 8 2 2" xfId="159" xr:uid="{00000000-0005-0000-0000-0000A4000000}"/>
    <cellStyle name="Normal 8 2 2 2" xfId="268" xr:uid="{DF8C89CD-3187-460B-ABFC-0139F9E4BD23}"/>
    <cellStyle name="Normal 8 2 3" xfId="267" xr:uid="{4FE1B484-96E8-4A3C-BB03-5E64B05E61EB}"/>
    <cellStyle name="Normal 8 2_ALTA CALIDAD 2012" xfId="160" xr:uid="{00000000-0005-0000-0000-0000A5000000}"/>
    <cellStyle name="Normal 8 3" xfId="161" xr:uid="{00000000-0005-0000-0000-0000A6000000}"/>
    <cellStyle name="Normal 8 3 2" xfId="162" xr:uid="{00000000-0005-0000-0000-0000A7000000}"/>
    <cellStyle name="Normal 8 3 2 2" xfId="270" xr:uid="{E7009566-DF45-41BC-845B-93938376E288}"/>
    <cellStyle name="Normal 8 3 3" xfId="269" xr:uid="{56BAA744-46AE-4A05-8F5A-548A77466676}"/>
    <cellStyle name="Normal 8 3_ALTA CALIDAD 2012" xfId="163" xr:uid="{00000000-0005-0000-0000-0000A8000000}"/>
    <cellStyle name="Normal 8 4" xfId="164" xr:uid="{00000000-0005-0000-0000-0000A9000000}"/>
    <cellStyle name="Normal 8 4 2" xfId="165" xr:uid="{00000000-0005-0000-0000-0000AA000000}"/>
    <cellStyle name="Normal 8 4 2 2" xfId="272" xr:uid="{8CC9FA90-5442-4C88-A65F-0C782AEFA65D}"/>
    <cellStyle name="Normal 8 4 3" xfId="271" xr:uid="{396551BD-986E-48C4-B220-032AAAE0ECBD}"/>
    <cellStyle name="Normal 8 4_ALTA CALIDAD 2012" xfId="166" xr:uid="{00000000-0005-0000-0000-0000AB000000}"/>
    <cellStyle name="Normal 8 5" xfId="266" xr:uid="{140374B1-EB99-4A82-AA0A-4EFEDEA53BB9}"/>
    <cellStyle name="Normal 9" xfId="167" xr:uid="{00000000-0005-0000-0000-0000AC000000}"/>
    <cellStyle name="Normal 9 2" xfId="168" xr:uid="{00000000-0005-0000-0000-0000AD000000}"/>
    <cellStyle name="Normal 9 2 2" xfId="274" xr:uid="{59733008-9667-4793-9B6A-0322EC76FAC2}"/>
    <cellStyle name="Normal 9 3" xfId="273" xr:uid="{411EB6FF-B019-4F62-9DFD-56EE0A43C380}"/>
    <cellStyle name="Normal 9_ALTA CALIDAD 2012" xfId="169" xr:uid="{00000000-0005-0000-0000-0000AE000000}"/>
    <cellStyle name="Notas" xfId="170" builtinId="10" customBuiltin="1"/>
    <cellStyle name="Notas 2" xfId="344" xr:uid="{1B250290-BA3F-4981-A4BC-90C7E820FCD7}"/>
    <cellStyle name="Percent [0]" xfId="171" xr:uid="{00000000-0005-0000-0000-0000B0000000}"/>
    <cellStyle name="Percent [0] 2" xfId="275" xr:uid="{CED3EEBD-862B-4B4E-B065-0D103C93CF07}"/>
    <cellStyle name="Percent [00]" xfId="172" xr:uid="{00000000-0005-0000-0000-0000B1000000}"/>
    <cellStyle name="Percent [00] 2" xfId="276" xr:uid="{67B426F7-66A9-4612-A4D6-63504BBFC94A}"/>
    <cellStyle name="Percent [2]" xfId="173" xr:uid="{00000000-0005-0000-0000-0000B2000000}"/>
    <cellStyle name="Percent [2] 2" xfId="277" xr:uid="{894D8FBA-8598-474C-9C60-A722A318EA76}"/>
    <cellStyle name="Porcentaje" xfId="196" builtinId="5"/>
    <cellStyle name="Porcentaje 2" xfId="357" xr:uid="{64F71F7D-9914-414F-AD31-AF1062E38F42}"/>
    <cellStyle name="PrePop Currency (0)" xfId="174" xr:uid="{00000000-0005-0000-0000-0000B4000000}"/>
    <cellStyle name="PrePop Currency (2)" xfId="175" xr:uid="{00000000-0005-0000-0000-0000B5000000}"/>
    <cellStyle name="PrePop Units (0)" xfId="176" xr:uid="{00000000-0005-0000-0000-0000B6000000}"/>
    <cellStyle name="PrePop Units (1)" xfId="177" xr:uid="{00000000-0005-0000-0000-0000B7000000}"/>
    <cellStyle name="PrePop Units (2)" xfId="178" xr:uid="{00000000-0005-0000-0000-0000B8000000}"/>
    <cellStyle name="Saldos" xfId="179" xr:uid="{00000000-0005-0000-0000-0000B9000000}"/>
    <cellStyle name="Saldos 2" xfId="180" xr:uid="{00000000-0005-0000-0000-0000BA000000}"/>
    <cellStyle name="Saldos 2 2" xfId="278" xr:uid="{FD8F6D8F-A884-438F-BB99-EF62588FD8FC}"/>
    <cellStyle name="Salida" xfId="181" builtinId="21" customBuiltin="1"/>
    <cellStyle name="Salida 2" xfId="345" xr:uid="{3BBF54D0-EEB9-4293-8D4B-EC31C0EDCF5B}"/>
    <cellStyle name="Text Indent A" xfId="182" xr:uid="{00000000-0005-0000-0000-0000BC000000}"/>
    <cellStyle name="Text Indent B" xfId="183" xr:uid="{00000000-0005-0000-0000-0000BD000000}"/>
    <cellStyle name="Text Indent C" xfId="184" xr:uid="{00000000-0005-0000-0000-0000BE000000}"/>
    <cellStyle name="Texto de advertencia" xfId="185" builtinId="11" customBuiltin="1"/>
    <cellStyle name="Texto de advertencia 2" xfId="347" xr:uid="{829300A2-01B5-49D7-8910-E9B895481EC6}"/>
    <cellStyle name="Texto explicativo" xfId="186" builtinId="53" customBuiltin="1"/>
    <cellStyle name="Texto explicativo 2" xfId="348" xr:uid="{3EBDCE1E-039B-44CB-AA34-27618E2385EF}"/>
    <cellStyle name="Título" xfId="187" builtinId="15" customBuiltin="1"/>
    <cellStyle name="Título 2" xfId="188" builtinId="17" customBuiltin="1"/>
    <cellStyle name="Título 2 2" xfId="350" xr:uid="{69199463-34C9-48CC-BF40-2DBFF06EF75A}"/>
    <cellStyle name="Título 3" xfId="189" builtinId="18" customBuiltin="1"/>
    <cellStyle name="Título 3 2" xfId="351" xr:uid="{1982F138-B5B0-4999-9AF3-2C8BC9AA26C4}"/>
    <cellStyle name="Título 4" xfId="349" xr:uid="{49130BA4-BD7D-4C54-AD70-7F170F058555}"/>
    <cellStyle name="Total" xfId="190" builtinId="25" customBuiltin="1"/>
    <cellStyle name="Total 2" xfId="352" xr:uid="{55F7A9D5-699A-441D-B09B-17AAD66484E3}"/>
  </cellStyles>
  <dxfs count="0"/>
  <tableStyles count="0" defaultTableStyle="TableStyleMedium9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5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externalLink" Target="externalLinks/externalLink9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8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7.xml"/><Relationship Id="rId23" Type="http://schemas.openxmlformats.org/officeDocument/2006/relationships/customXml" Target="../customXml/item2.xml"/><Relationship Id="rId10" Type="http://schemas.openxmlformats.org/officeDocument/2006/relationships/externalLink" Target="externalLinks/externalLink2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externalLink" Target="externalLinks/externalLink6.xml"/><Relationship Id="rId22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376651</xdr:colOff>
      <xdr:row>0</xdr:row>
      <xdr:rowOff>22491</xdr:rowOff>
    </xdr:from>
    <xdr:ext cx="1168515" cy="1289473"/>
    <xdr:pic>
      <xdr:nvPicPr>
        <xdr:cNvPr id="2" name="Imagen 1">
          <a:extLst>
            <a:ext uri="{FF2B5EF4-FFF2-40B4-BE49-F238E27FC236}">
              <a16:creationId xmlns:a16="http://schemas.microsoft.com/office/drawing/2014/main" id="{8461E3AF-8DA4-4C72-B580-7D3E196A1D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6651" y="181241"/>
          <a:ext cx="1168515" cy="1289473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376651</xdr:colOff>
      <xdr:row>0</xdr:row>
      <xdr:rowOff>22491</xdr:rowOff>
    </xdr:from>
    <xdr:ext cx="1168515" cy="1289473"/>
    <xdr:pic>
      <xdr:nvPicPr>
        <xdr:cNvPr id="2" name="Imagen 1">
          <a:extLst>
            <a:ext uri="{FF2B5EF4-FFF2-40B4-BE49-F238E27FC236}">
              <a16:creationId xmlns:a16="http://schemas.microsoft.com/office/drawing/2014/main" id="{3DF6A5F4-64E3-4EFC-95BB-A34A8A434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6651" y="22491"/>
          <a:ext cx="1168515" cy="1289473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0</xdr:rowOff>
    </xdr:from>
    <xdr:to>
      <xdr:col>1</xdr:col>
      <xdr:colOff>94153</xdr:colOff>
      <xdr:row>6</xdr:row>
      <xdr:rowOff>149455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0580162-2A40-4E7E-A76F-62644BB2FE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0"/>
          <a:ext cx="1096183" cy="115529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0</xdr:rowOff>
    </xdr:from>
    <xdr:to>
      <xdr:col>0</xdr:col>
      <xdr:colOff>1159048</xdr:colOff>
      <xdr:row>6</xdr:row>
      <xdr:rowOff>149455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931161DA-E22D-4F99-8BB8-B5E3D3254E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0"/>
          <a:ext cx="1092373" cy="1121005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322753</xdr:colOff>
      <xdr:row>6</xdr:row>
      <xdr:rowOff>149455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5E8D4433-32E5-41D5-B6B9-6A2C1A5BB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63000" y="0"/>
          <a:ext cx="1092373" cy="1121005"/>
        </a:xfrm>
        <a:prstGeom prst="rect">
          <a:avLst/>
        </a:prstGeom>
      </xdr:spPr>
    </xdr:pic>
    <xdr:clientData/>
  </xdr:twoCellAnchor>
  <xdr:oneCellAnchor>
    <xdr:from>
      <xdr:col>25</xdr:col>
      <xdr:colOff>0</xdr:colOff>
      <xdr:row>0</xdr:row>
      <xdr:rowOff>0</xdr:rowOff>
    </xdr:from>
    <xdr:ext cx="1092373" cy="1121005"/>
    <xdr:pic>
      <xdr:nvPicPr>
        <xdr:cNvPr id="2" name="Imagen 1">
          <a:extLst>
            <a:ext uri="{FF2B5EF4-FFF2-40B4-BE49-F238E27FC236}">
              <a16:creationId xmlns:a16="http://schemas.microsoft.com/office/drawing/2014/main" id="{CB48AFC3-AB0C-4337-A8F5-A942B79F0B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60175" y="0"/>
          <a:ext cx="1092373" cy="112100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is%20documentos\IMSS%2099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microsoft.com/office/2019/04/relationships/externalLinkLongPath" Target="file:///E:\Documents%20and%20Settings\Manuel%20Montoya\Configuraci&#243;n%20local\Archivos%20temporales%20de%20Internet\OLK3\Documents%20and%20Settings\Contabilidad\Mis%20documentos\LEGISLACION\CURSO%20REFORMAS%202008\Worksheet%20in%205425%20Amarre%20de%20inventarios?A8CBB111" TargetMode="External"/><Relationship Id="rId1" Type="http://schemas.openxmlformats.org/officeDocument/2006/relationships/externalLinkPath" Target="file:///\\A8CBB111\Worksheet%20in%205425%20Amarre%20de%20inventario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microsoft.com/office/2019/04/relationships/externalLinkLongPath" Target="file:///\\GARSE02\Compartido\Documents%20and%20Settings\Manuel%20Montoya\Configuraci&#243;n%20local\Archivos%20temporales%20de%20Internet\OLK3\Documents%20and%20Settings\Contabilidad\Mis%20documentos\LEGISLACION\CURSO%20REFORMAS%202008\Worksheet%20in%205425%20Amarre%20de%20inventarios?6AD0B7EB" TargetMode="External"/><Relationship Id="rId1" Type="http://schemas.openxmlformats.org/officeDocument/2006/relationships/externalLinkPath" Target="file:///\\6AD0B7EB\Worksheet%20in%205425%20Amarre%20de%20inventario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microsoft.com/office/2019/04/relationships/externalLinkLongPath" Target="file:///\\GARSE02\Compartido\Documents%20and%20Settings\Manuel%20Montoya\Configuraci&#243;n%20local\Archivos%20temporales%20de%20Internet\OLK3\Documents%20and%20Settings\Contabilidad\Mis%20documentos\LEGISLACION\CURSO%20REFORMAS%202008\Worksheet%20in%202246%20Papel%20de%20Trabajo%20del%20E...?6AD0B7EB" TargetMode="External"/><Relationship Id="rId1" Type="http://schemas.openxmlformats.org/officeDocument/2006/relationships/externalLinkPath" Target="file:///\\6AD0B7EB\Worksheet%20in%202246%20Papel%20de%20Trabajo%20del%20E...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microsoft.com/office/2019/04/relationships/externalLinkLongPath" Target="file:///E:\Documents%20and%20Settings\Manuel%20Montoya\Configuraci&#243;n%20local\Archivos%20temporales%20de%20Internet\OLK3\Documents%20and%20Settings\Contabilidad\Mis%20documentos\LEGISLACION\CURSO%20REFORMAS%202008\Worksheet%20in%202246%20Papel%20de%20Trabajo%20del%20E...?A8CBB111" TargetMode="External"/><Relationship Id="rId1" Type="http://schemas.openxmlformats.org/officeDocument/2006/relationships/externalLinkPath" Target="file:///\\A8CBB111\Worksheet%20in%202246%20Papel%20de%20Trabajo%20del%20E...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microsoft.com/office/2019/04/relationships/externalLinkLongPath" Target="file:///\\GARSE02\Compartido\Documents%20and%20Settings\Manuel%20Montoya\Configuraci&#243;n%20local\Archivos%20temporales%20de%20Internet\OLK3\Documents%20and%20Settings\Contabilidad\Mis%20documentos\LEGISLACION\CURSO%20REFORMAS%202008\Worksheet%20in%202215%20Estado%20de%20Cambios?6AD0B7EB" TargetMode="External"/><Relationship Id="rId1" Type="http://schemas.openxmlformats.org/officeDocument/2006/relationships/externalLinkPath" Target="file:///\\6AD0B7EB\Worksheet%20in%202215%20Estado%20de%20Cambio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Manuel%20Montoya\Configuraci&#243;n%20local\Archivos%20temporales%20de%20Internet\OLK3\Documents%20and%20Settings\Contabilidad\Mis%20documentos\LEGISLACION\CURSO%20REFORMAS%202008\Worksheet%20in%202215%20Estado%20de%20Cambios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microsoft.com/office/2019/04/relationships/externalLinkLongPath" Target="https://d.docs.live.net/ddd0763b0859cbc8/Escritorio/ARCHIVOS%20PARA%20EZEQUIEL/COTIZACIONES/2023/04.%20Abril/05.%20Notaria/ARCHIVOS%20PARA%20EZEQUIEL/COTIZACIONES/2023/01.%20Enero/03.%20Mayra%20Cotizacion/Nomina%20ESQUEMA%20PREVISION%20SOCIAL.xlsx?EC6B8900" TargetMode="External"/><Relationship Id="rId1" Type="http://schemas.openxmlformats.org/officeDocument/2006/relationships/externalLinkPath" Target="file:///\\EC6B8900\Nomina%20ESQUEMA%20PREVISION%20SOCIAL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100.91\Dataserver\NOMINAS\2.INFORMACION%20NOMINAS\4.NOMINAS%20CLIENTES\4.LUXIMIA\2024\NOMINA\QUINCENAL\FISCAL\NOMINA%2003\NOMINA%2003%20LUXIMIA%201ER%20QNA%20DE%20FEBRERO%20%202024%20FISCAL.xlsx" TargetMode="External"/><Relationship Id="rId1" Type="http://schemas.openxmlformats.org/officeDocument/2006/relationships/externalLinkPath" Target="file:///\\192.168.100.91\Dataserver\NOMINAS\2.INFORMACION%20NOMINAS\4.NOMINAS%20CLIENTES\4.LUXIMIA\2024\NOMINA\QUINCENAL\FISCAL\NOMINA%2003\NOMINA%2003%20LUXIMIA%201ER%20QNA%20DE%20FEBRERO%20%202024%20FISC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visión"/>
      <sheetName val="Pago"/>
      <sheetName val="Análisis"/>
      <sheetName val="SDI"/>
      <sheetName val="Provision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eso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eso"/>
    </sheetNames>
    <sheetDataSet>
      <sheetData sheetId="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s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s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SCAL "/>
      <sheetName val="RESUMEN "/>
      <sheetName val="Calculadora ISR 2023"/>
      <sheetName val="Desgloces IMSS"/>
      <sheetName val="vacacion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UXIMIA "/>
      <sheetName val="SHARK"/>
      <sheetName val="PETREOS"/>
      <sheetName val="RESUMEN LUXIMIA,SHARK1"/>
      <sheetName val="RESUMEN"/>
      <sheetName val="Cuotas IMSS"/>
      <sheetName val="vacaciones"/>
    </sheetNames>
    <sheetDataSet>
      <sheetData sheetId="0"/>
      <sheetData sheetId="1">
        <row r="10">
          <cell r="P10"/>
        </row>
      </sheetData>
      <sheetData sheetId="2"/>
      <sheetData sheetId="3">
        <row r="38">
          <cell r="AB38">
            <v>0</v>
          </cell>
        </row>
      </sheetData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48156-738C-4D7F-AC9D-0FF21E6B6975}">
  <sheetPr>
    <pageSetUpPr fitToPage="1"/>
  </sheetPr>
  <dimension ref="A1:AF1442"/>
  <sheetViews>
    <sheetView tabSelected="1" zoomScaleNormal="100" workbookViewId="0">
      <pane xSplit="2" ySplit="14" topLeftCell="C25" activePane="bottomRight" state="frozen"/>
      <selection pane="bottomRight" activeCell="L43" sqref="L43"/>
      <selection pane="bottomLeft" activeCell="A9" sqref="A9"/>
      <selection pane="topRight" activeCell="C1" sqref="C1"/>
    </sheetView>
  </sheetViews>
  <sheetFormatPr defaultColWidth="11.42578125" defaultRowHeight="13.15"/>
  <cols>
    <col min="1" max="1" width="4.85546875" style="11" customWidth="1"/>
    <col min="2" max="2" width="47.28515625" style="11" customWidth="1"/>
    <col min="3" max="3" width="15.7109375" style="11" customWidth="1"/>
    <col min="4" max="4" width="14.85546875" style="11" customWidth="1"/>
    <col min="5" max="5" width="15.28515625" style="12" customWidth="1"/>
    <col min="6" max="6" width="14.140625" style="12" customWidth="1"/>
    <col min="7" max="7" width="10.85546875" style="13" customWidth="1"/>
    <col min="8" max="8" width="15.28515625" style="12" customWidth="1"/>
    <col min="9" max="9" width="11.5703125" style="12" customWidth="1"/>
    <col min="10" max="10" width="12.7109375" style="12" customWidth="1"/>
    <col min="11" max="11" width="8.85546875" style="12" customWidth="1"/>
    <col min="12" max="12" width="19.7109375" style="12" customWidth="1"/>
    <col min="13" max="13" width="14.140625" style="12" customWidth="1"/>
    <col min="14" max="15" width="12.7109375" style="12" customWidth="1"/>
    <col min="16" max="17" width="14.140625" style="12" customWidth="1"/>
    <col min="18" max="18" width="16.7109375" style="86" bestFit="1" customWidth="1"/>
    <col min="19" max="19" width="0.42578125" style="12" customWidth="1"/>
    <col min="20" max="20" width="17.42578125" style="219" customWidth="1"/>
    <col min="21" max="22" width="14.140625" style="64" bestFit="1" customWidth="1"/>
    <col min="23" max="23" width="16.28515625" style="64" customWidth="1"/>
    <col min="24" max="24" width="0.5703125" style="64" customWidth="1"/>
    <col min="25" max="25" width="15.5703125" style="11" customWidth="1"/>
    <col min="26" max="26" width="14.140625" style="11" bestFit="1" customWidth="1"/>
    <col min="27" max="27" width="15" style="11" customWidth="1"/>
    <col min="28" max="28" width="14.140625" style="11" customWidth="1"/>
    <col min="29" max="29" width="18.140625" style="11" customWidth="1"/>
    <col min="30" max="30" width="14.28515625" style="11" customWidth="1"/>
    <col min="31" max="31" width="11.42578125" style="11" customWidth="1"/>
    <col min="32" max="32" width="13.7109375" style="11" bestFit="1" customWidth="1"/>
    <col min="33" max="33" width="11.42578125" style="11" customWidth="1"/>
    <col min="34" max="16384" width="11.42578125" style="11"/>
  </cols>
  <sheetData>
    <row r="1" spans="1:29" hidden="1">
      <c r="T1" s="175"/>
      <c r="U1" s="14"/>
      <c r="V1" s="14"/>
      <c r="W1" s="14"/>
      <c r="X1" s="14"/>
    </row>
    <row r="2" spans="1:29" hidden="1">
      <c r="B2" s="73" t="s">
        <v>0</v>
      </c>
      <c r="Q2" s="117"/>
      <c r="R2" s="172"/>
      <c r="S2" s="117"/>
      <c r="T2" s="215"/>
      <c r="U2" s="114"/>
      <c r="V2" s="114"/>
      <c r="W2" s="114"/>
      <c r="X2" s="14"/>
    </row>
    <row r="3" spans="1:29" hidden="1">
      <c r="G3" s="12"/>
      <c r="Q3" s="117"/>
      <c r="R3" s="172"/>
      <c r="S3" s="117"/>
      <c r="T3" s="215"/>
      <c r="U3" s="114"/>
      <c r="V3" s="114"/>
      <c r="W3" s="114"/>
      <c r="X3" s="14"/>
    </row>
    <row r="4" spans="1:29" hidden="1">
      <c r="G4" s="12"/>
      <c r="K4" s="80"/>
      <c r="Q4" s="117"/>
      <c r="R4" s="172"/>
      <c r="S4" s="117"/>
      <c r="T4" s="215"/>
      <c r="U4" s="114"/>
      <c r="V4" s="114"/>
      <c r="W4" s="114"/>
      <c r="X4" s="14"/>
    </row>
    <row r="5" spans="1:29" hidden="1">
      <c r="G5" s="12"/>
      <c r="K5" s="84"/>
      <c r="Q5" s="117"/>
      <c r="R5" s="172"/>
      <c r="S5" s="117"/>
      <c r="T5" s="172"/>
      <c r="U5" s="114"/>
      <c r="V5" s="114"/>
      <c r="W5" s="114"/>
      <c r="X5" s="14"/>
    </row>
    <row r="6" spans="1:29" hidden="1">
      <c r="F6" s="97"/>
      <c r="G6" s="12"/>
      <c r="K6" s="80"/>
      <c r="P6" s="86"/>
      <c r="Q6" s="145"/>
      <c r="R6" s="173"/>
      <c r="S6" s="97"/>
      <c r="T6" s="172"/>
      <c r="U6" s="114"/>
      <c r="V6" s="114"/>
      <c r="W6" s="114"/>
      <c r="X6" s="14"/>
    </row>
    <row r="7" spans="1:29" hidden="1">
      <c r="F7" s="117"/>
      <c r="G7" s="12"/>
      <c r="M7" s="84"/>
      <c r="P7" s="130"/>
      <c r="Q7" s="117"/>
      <c r="R7" s="173"/>
      <c r="S7" s="97"/>
      <c r="T7" s="215"/>
      <c r="U7" s="114"/>
      <c r="V7" s="114"/>
      <c r="W7" s="114"/>
      <c r="X7" s="14"/>
    </row>
    <row r="8" spans="1:29" ht="13.9" hidden="1">
      <c r="A8" s="10"/>
      <c r="G8" s="80"/>
      <c r="H8" s="80"/>
      <c r="P8" s="84"/>
      <c r="Q8" s="115"/>
      <c r="R8" s="173"/>
      <c r="S8" s="97"/>
      <c r="T8" s="215"/>
      <c r="U8" s="114"/>
      <c r="V8" s="114"/>
      <c r="W8" s="114"/>
      <c r="X8" s="14"/>
    </row>
    <row r="9" spans="1:29" ht="13.9" hidden="1">
      <c r="A9" s="10"/>
      <c r="F9" s="80"/>
      <c r="G9" s="80"/>
      <c r="L9" s="84"/>
      <c r="P9" s="84"/>
      <c r="Q9" s="115"/>
      <c r="R9" s="173"/>
      <c r="S9" s="97"/>
      <c r="T9" s="215"/>
      <c r="U9" s="114"/>
      <c r="V9" s="114"/>
      <c r="W9" s="114"/>
      <c r="X9" s="14"/>
    </row>
    <row r="10" spans="1:29" ht="14.45" hidden="1" thickBot="1">
      <c r="A10" s="10" t="s">
        <v>1</v>
      </c>
      <c r="Q10" s="117"/>
      <c r="R10" s="172"/>
      <c r="S10" s="117"/>
      <c r="T10" s="215"/>
      <c r="U10" s="114"/>
      <c r="V10" s="114"/>
      <c r="W10" s="114"/>
      <c r="X10" s="14"/>
    </row>
    <row r="11" spans="1:29" ht="15.6" hidden="1" thickBot="1">
      <c r="A11" s="15" t="s">
        <v>2</v>
      </c>
      <c r="D11" s="63"/>
      <c r="E11" s="302" t="s">
        <v>3</v>
      </c>
      <c r="F11" s="302"/>
      <c r="G11" s="302"/>
      <c r="H11" s="302"/>
      <c r="I11" s="302"/>
      <c r="J11" s="302"/>
      <c r="K11" s="302"/>
      <c r="L11" s="303"/>
      <c r="M11" s="303"/>
      <c r="N11" s="303"/>
      <c r="O11" s="303"/>
      <c r="P11" s="303"/>
      <c r="Q11" s="302"/>
      <c r="R11" s="303"/>
      <c r="S11" s="63"/>
      <c r="T11" s="304"/>
      <c r="U11" s="304"/>
      <c r="V11" s="304"/>
      <c r="W11" s="305"/>
      <c r="X11" s="69"/>
      <c r="Y11" s="306" t="s">
        <v>4</v>
      </c>
      <c r="Z11" s="307"/>
      <c r="AA11" s="307"/>
      <c r="AB11" s="307"/>
      <c r="AC11" s="307"/>
    </row>
    <row r="12" spans="1:29" ht="13.9" thickBot="1">
      <c r="K12" s="24"/>
      <c r="L12" s="308" t="s">
        <v>5</v>
      </c>
      <c r="M12" s="24"/>
      <c r="N12" s="24"/>
      <c r="O12" s="24"/>
      <c r="P12" s="24"/>
      <c r="R12" s="311" t="s">
        <v>6</v>
      </c>
      <c r="T12" s="216"/>
      <c r="U12" s="160"/>
      <c r="V12" s="160"/>
      <c r="W12" s="161"/>
      <c r="X12" s="14"/>
      <c r="Y12" s="15"/>
      <c r="Z12" s="51">
        <v>0.03</v>
      </c>
      <c r="AA12" s="15"/>
      <c r="AB12" s="15"/>
      <c r="AC12" s="15"/>
    </row>
    <row r="13" spans="1:29" s="21" customFormat="1" ht="38.25" customHeight="1" thickBot="1">
      <c r="A13" s="300" t="s">
        <v>7</v>
      </c>
      <c r="B13" s="318" t="s">
        <v>8</v>
      </c>
      <c r="C13" s="92" t="s">
        <v>9</v>
      </c>
      <c r="D13" s="92" t="s">
        <v>10</v>
      </c>
      <c r="E13" s="316" t="s">
        <v>11</v>
      </c>
      <c r="F13" s="300" t="s">
        <v>12</v>
      </c>
      <c r="G13" s="320" t="s">
        <v>13</v>
      </c>
      <c r="H13" s="300" t="s">
        <v>14</v>
      </c>
      <c r="I13" s="92" t="s">
        <v>15</v>
      </c>
      <c r="J13" s="92" t="s">
        <v>16</v>
      </c>
      <c r="K13" s="316" t="s">
        <v>17</v>
      </c>
      <c r="L13" s="309"/>
      <c r="M13" s="316" t="s">
        <v>18</v>
      </c>
      <c r="N13" s="316" t="s">
        <v>19</v>
      </c>
      <c r="O13" s="316" t="s">
        <v>20</v>
      </c>
      <c r="P13" s="316" t="s">
        <v>21</v>
      </c>
      <c r="Q13" s="316" t="s">
        <v>22</v>
      </c>
      <c r="R13" s="312"/>
      <c r="S13" s="159"/>
      <c r="T13" s="217" t="s">
        <v>23</v>
      </c>
      <c r="U13" s="268" t="s">
        <v>24</v>
      </c>
      <c r="V13" s="137" t="s">
        <v>25</v>
      </c>
      <c r="W13" s="68" t="s">
        <v>26</v>
      </c>
      <c r="X13" s="77"/>
      <c r="Y13" s="314" t="s">
        <v>27</v>
      </c>
      <c r="Z13" s="300" t="s">
        <v>28</v>
      </c>
      <c r="AA13" s="300" t="s">
        <v>29</v>
      </c>
      <c r="AB13" s="90" t="s">
        <v>30</v>
      </c>
      <c r="AC13" s="314" t="s">
        <v>31</v>
      </c>
    </row>
    <row r="14" spans="1:29" s="21" customFormat="1" ht="14.45" thickBot="1">
      <c r="A14" s="301"/>
      <c r="B14" s="319"/>
      <c r="C14" s="93"/>
      <c r="D14" s="93"/>
      <c r="E14" s="317"/>
      <c r="F14" s="301"/>
      <c r="G14" s="321"/>
      <c r="H14" s="301"/>
      <c r="I14" s="91"/>
      <c r="J14" s="91"/>
      <c r="K14" s="317"/>
      <c r="L14" s="310"/>
      <c r="M14" s="317"/>
      <c r="N14" s="317"/>
      <c r="O14" s="317"/>
      <c r="P14" s="317"/>
      <c r="Q14" s="317"/>
      <c r="R14" s="313"/>
      <c r="S14" s="22"/>
      <c r="T14" s="218"/>
      <c r="U14" s="66"/>
      <c r="V14" s="66"/>
      <c r="W14" s="162"/>
      <c r="X14" s="78"/>
      <c r="Y14" s="315"/>
      <c r="Z14" s="301"/>
      <c r="AA14" s="301"/>
      <c r="AB14" s="50">
        <v>0.16</v>
      </c>
      <c r="AC14" s="315"/>
    </row>
    <row r="15" spans="1:29">
      <c r="A15" s="49"/>
      <c r="B15" s="26"/>
      <c r="C15" s="26"/>
      <c r="D15" s="26"/>
      <c r="E15" s="18"/>
      <c r="F15" s="59"/>
      <c r="G15" s="19"/>
      <c r="H15" s="18"/>
      <c r="I15" s="18"/>
      <c r="J15" s="18"/>
      <c r="L15" s="25"/>
      <c r="M15" s="18"/>
      <c r="N15" s="18"/>
      <c r="O15" s="18"/>
      <c r="P15" s="18"/>
      <c r="Q15" s="20"/>
      <c r="R15" s="174" t="s">
        <v>32</v>
      </c>
      <c r="S15" s="23"/>
      <c r="W15" s="163"/>
      <c r="X15" s="79"/>
      <c r="Y15" s="15"/>
      <c r="Z15" s="15"/>
      <c r="AA15" s="15"/>
      <c r="AB15" s="15"/>
      <c r="AC15" s="15"/>
    </row>
    <row r="16" spans="1:29" ht="15.75" customHeight="1">
      <c r="A16" s="70">
        <v>1</v>
      </c>
      <c r="B16" s="47" t="s">
        <v>33</v>
      </c>
      <c r="C16" s="47" t="s">
        <v>34</v>
      </c>
      <c r="D16" s="47" t="s">
        <v>35</v>
      </c>
      <c r="E16" s="28">
        <f>+F16*30</f>
        <v>14935.800000000001</v>
      </c>
      <c r="F16" s="60">
        <v>497.86</v>
      </c>
      <c r="G16" s="29">
        <v>16</v>
      </c>
      <c r="H16" s="32">
        <f>F16*G16</f>
        <v>7965.76</v>
      </c>
      <c r="I16" s="32"/>
      <c r="J16" s="32"/>
      <c r="K16" s="48"/>
      <c r="L16" s="31">
        <f>SUM(H16:K16)</f>
        <v>7965.76</v>
      </c>
      <c r="M16" s="290">
        <v>878.42</v>
      </c>
      <c r="N16" s="290">
        <v>211.1</v>
      </c>
      <c r="O16" s="28">
        <v>0</v>
      </c>
      <c r="P16" s="295">
        <v>1952.49</v>
      </c>
      <c r="Q16" s="30">
        <f t="shared" ref="Q16:Q34" si="0">SUM(M16:P16)</f>
        <v>3042.01</v>
      </c>
      <c r="R16" s="294">
        <f>+L16-Q16</f>
        <v>4923.75</v>
      </c>
      <c r="S16" s="27"/>
      <c r="T16" s="176">
        <v>318.63040000000001</v>
      </c>
      <c r="U16" s="67">
        <v>2244.0100000000002</v>
      </c>
      <c r="V16" s="67">
        <f>+U16+T16</f>
        <v>2562.6404000000002</v>
      </c>
      <c r="W16" s="164">
        <f t="shared" ref="W16:W37" si="1">+L16</f>
        <v>7965.76</v>
      </c>
      <c r="X16" s="27"/>
      <c r="Y16" s="33">
        <f>+W16+V16</f>
        <v>10528.4004</v>
      </c>
      <c r="Z16" s="34">
        <f t="shared" ref="Z16:Z23" si="2">+Y16*$Z$12</f>
        <v>315.852012</v>
      </c>
      <c r="AA16" s="16">
        <f t="shared" ref="AA16:AA23" si="3">+Y16+Z16</f>
        <v>10844.252412</v>
      </c>
      <c r="AB16" s="34">
        <f t="shared" ref="AB16:AB23" si="4">+AA16*$AB$14</f>
        <v>1735.08038592</v>
      </c>
      <c r="AC16" s="34">
        <f t="shared" ref="AC16:AC23" si="5">+AA16+AB16</f>
        <v>12579.33279792</v>
      </c>
    </row>
    <row r="17" spans="1:29" ht="15.75" customHeight="1">
      <c r="A17" s="70">
        <v>2</v>
      </c>
      <c r="B17" s="47" t="s">
        <v>36</v>
      </c>
      <c r="C17" s="47" t="s">
        <v>34</v>
      </c>
      <c r="D17" s="47" t="s">
        <v>37</v>
      </c>
      <c r="E17" s="28">
        <f t="shared" ref="E17:E36" si="6">+F17*30</f>
        <v>14935.800000000001</v>
      </c>
      <c r="F17" s="60">
        <v>497.86</v>
      </c>
      <c r="G17" s="29">
        <v>16</v>
      </c>
      <c r="H17" s="32">
        <f t="shared" ref="H17:H38" si="7">F17*G17</f>
        <v>7965.76</v>
      </c>
      <c r="I17" s="32"/>
      <c r="J17" s="32"/>
      <c r="K17" s="48">
        <v>0</v>
      </c>
      <c r="L17" s="31">
        <f t="shared" ref="L17:L34" si="8">SUM(H17:K17)</f>
        <v>7965.76</v>
      </c>
      <c r="M17" s="171">
        <v>878.42</v>
      </c>
      <c r="N17" s="171">
        <v>211.1</v>
      </c>
      <c r="O17" s="28">
        <v>0</v>
      </c>
      <c r="P17" s="171">
        <v>0</v>
      </c>
      <c r="Q17" s="30">
        <f t="shared" si="0"/>
        <v>1089.52</v>
      </c>
      <c r="R17" s="294">
        <f t="shared" ref="R17:S40" si="9">+L17-Q17</f>
        <v>6876.24</v>
      </c>
      <c r="S17" s="27"/>
      <c r="T17" s="176">
        <v>318.63040000000001</v>
      </c>
      <c r="U17" s="67">
        <v>2244.0100000000002</v>
      </c>
      <c r="V17" s="67">
        <f t="shared" ref="V17:V40" si="10">+U17+T17</f>
        <v>2562.6404000000002</v>
      </c>
      <c r="W17" s="164">
        <f t="shared" si="1"/>
        <v>7965.76</v>
      </c>
      <c r="X17" s="27"/>
      <c r="Y17" s="33">
        <f t="shared" ref="Y17:Y19" si="11">+W17+V17</f>
        <v>10528.4004</v>
      </c>
      <c r="Z17" s="34">
        <f t="shared" si="2"/>
        <v>315.852012</v>
      </c>
      <c r="AA17" s="16">
        <f t="shared" si="3"/>
        <v>10844.252412</v>
      </c>
      <c r="AB17" s="34">
        <f t="shared" si="4"/>
        <v>1735.08038592</v>
      </c>
      <c r="AC17" s="34">
        <f t="shared" si="5"/>
        <v>12579.33279792</v>
      </c>
    </row>
    <row r="18" spans="1:29" ht="15.75" customHeight="1">
      <c r="A18" s="70">
        <v>3</v>
      </c>
      <c r="B18" s="47" t="s">
        <v>38</v>
      </c>
      <c r="C18" s="47" t="s">
        <v>39</v>
      </c>
      <c r="D18" s="47" t="s">
        <v>40</v>
      </c>
      <c r="E18" s="28">
        <f t="shared" si="6"/>
        <v>14935.800000000001</v>
      </c>
      <c r="F18" s="60">
        <v>497.86</v>
      </c>
      <c r="G18" s="29">
        <v>16</v>
      </c>
      <c r="H18" s="32">
        <f t="shared" si="7"/>
        <v>7965.76</v>
      </c>
      <c r="I18" s="32"/>
      <c r="J18" s="32"/>
      <c r="K18" s="48">
        <v>0</v>
      </c>
      <c r="L18" s="31">
        <f t="shared" si="8"/>
        <v>7965.76</v>
      </c>
      <c r="M18" s="171">
        <v>878.42</v>
      </c>
      <c r="N18" s="171">
        <v>211.1</v>
      </c>
      <c r="O18" s="28">
        <v>0</v>
      </c>
      <c r="P18" s="295">
        <v>1311.95</v>
      </c>
      <c r="Q18" s="30">
        <f t="shared" si="0"/>
        <v>2401.4700000000003</v>
      </c>
      <c r="R18" s="294">
        <f t="shared" si="9"/>
        <v>5564.29</v>
      </c>
      <c r="S18" s="27"/>
      <c r="T18" s="176">
        <v>318.63040000000001</v>
      </c>
      <c r="U18" s="67">
        <v>2244.0100000000002</v>
      </c>
      <c r="V18" s="67">
        <f t="shared" si="10"/>
        <v>2562.6404000000002</v>
      </c>
      <c r="W18" s="164">
        <f t="shared" si="1"/>
        <v>7965.76</v>
      </c>
      <c r="X18" s="27"/>
      <c r="Y18" s="33">
        <f t="shared" si="11"/>
        <v>10528.4004</v>
      </c>
      <c r="Z18" s="34">
        <f t="shared" si="2"/>
        <v>315.852012</v>
      </c>
      <c r="AA18" s="16">
        <f t="shared" si="3"/>
        <v>10844.252412</v>
      </c>
      <c r="AB18" s="34">
        <f t="shared" si="4"/>
        <v>1735.08038592</v>
      </c>
      <c r="AC18" s="34">
        <f t="shared" si="5"/>
        <v>12579.33279792</v>
      </c>
    </row>
    <row r="19" spans="1:29" ht="15" customHeight="1">
      <c r="A19" s="70">
        <v>4</v>
      </c>
      <c r="B19" s="47" t="s">
        <v>41</v>
      </c>
      <c r="C19" s="47" t="s">
        <v>42</v>
      </c>
      <c r="D19" s="47" t="s">
        <v>43</v>
      </c>
      <c r="E19" s="28">
        <f t="shared" si="6"/>
        <v>22403.699999999997</v>
      </c>
      <c r="F19" s="60">
        <v>746.79</v>
      </c>
      <c r="G19" s="29">
        <v>16</v>
      </c>
      <c r="H19" s="32">
        <f t="shared" si="7"/>
        <v>11948.64</v>
      </c>
      <c r="I19" s="32"/>
      <c r="J19" s="32"/>
      <c r="K19" s="48">
        <v>0</v>
      </c>
      <c r="L19" s="31">
        <f t="shared" si="8"/>
        <v>11948.64</v>
      </c>
      <c r="M19" s="171">
        <v>1729.17</v>
      </c>
      <c r="N19" s="171">
        <v>327.08</v>
      </c>
      <c r="O19" s="28">
        <v>0</v>
      </c>
      <c r="P19" s="171">
        <v>0</v>
      </c>
      <c r="Q19" s="30">
        <f t="shared" si="0"/>
        <v>2056.25</v>
      </c>
      <c r="R19" s="294">
        <f t="shared" si="9"/>
        <v>9892.39</v>
      </c>
      <c r="S19" s="27"/>
      <c r="T19" s="176">
        <v>477.94560000000001</v>
      </c>
      <c r="U19" s="67">
        <v>3177.71</v>
      </c>
      <c r="V19" s="67">
        <f t="shared" si="10"/>
        <v>3655.6556</v>
      </c>
      <c r="W19" s="164">
        <f t="shared" si="1"/>
        <v>11948.64</v>
      </c>
      <c r="X19" s="27"/>
      <c r="Y19" s="33">
        <f t="shared" si="11"/>
        <v>15604.295599999999</v>
      </c>
      <c r="Z19" s="34">
        <f t="shared" si="2"/>
        <v>468.12886799999995</v>
      </c>
      <c r="AA19" s="16">
        <f t="shared" si="3"/>
        <v>16072.424467999999</v>
      </c>
      <c r="AB19" s="34">
        <f t="shared" si="4"/>
        <v>2571.58791488</v>
      </c>
      <c r="AC19" s="34">
        <f t="shared" si="5"/>
        <v>18644.012382879999</v>
      </c>
    </row>
    <row r="20" spans="1:29" ht="15.75" customHeight="1">
      <c r="A20" s="70">
        <v>5</v>
      </c>
      <c r="B20" s="47" t="s">
        <v>44</v>
      </c>
      <c r="C20" s="47" t="s">
        <v>45</v>
      </c>
      <c r="D20" s="47" t="s">
        <v>46</v>
      </c>
      <c r="E20" s="28">
        <f t="shared" si="6"/>
        <v>14935.800000000001</v>
      </c>
      <c r="F20" s="60">
        <v>497.86</v>
      </c>
      <c r="G20" s="29">
        <v>16</v>
      </c>
      <c r="H20" s="32">
        <f t="shared" si="7"/>
        <v>7965.76</v>
      </c>
      <c r="I20" s="32"/>
      <c r="J20" s="32"/>
      <c r="K20" s="48">
        <v>0</v>
      </c>
      <c r="L20" s="31">
        <f t="shared" si="8"/>
        <v>7965.76</v>
      </c>
      <c r="M20" s="171">
        <v>878.42</v>
      </c>
      <c r="N20" s="171">
        <v>211.1</v>
      </c>
      <c r="O20" s="28">
        <v>0</v>
      </c>
      <c r="P20" s="295">
        <v>1458.86</v>
      </c>
      <c r="Q20" s="30">
        <f t="shared" si="0"/>
        <v>2548.38</v>
      </c>
      <c r="R20" s="294">
        <f t="shared" si="9"/>
        <v>5417.38</v>
      </c>
      <c r="S20" s="27"/>
      <c r="T20" s="176">
        <v>318.63040000000001</v>
      </c>
      <c r="U20" s="67">
        <v>2244.0100000000002</v>
      </c>
      <c r="V20" s="67">
        <f t="shared" si="10"/>
        <v>2562.6404000000002</v>
      </c>
      <c r="W20" s="164">
        <f t="shared" si="1"/>
        <v>7965.76</v>
      </c>
      <c r="X20" s="27"/>
      <c r="Y20" s="33">
        <f>+W20+V20</f>
        <v>10528.4004</v>
      </c>
      <c r="Z20" s="34">
        <f>+Y20*$Z$12</f>
        <v>315.852012</v>
      </c>
      <c r="AA20" s="16">
        <f>+Y20+Z20</f>
        <v>10844.252412</v>
      </c>
      <c r="AB20" s="34">
        <f>+AA20*$AB$14</f>
        <v>1735.08038592</v>
      </c>
      <c r="AC20" s="34">
        <f>+AA20+AB20</f>
        <v>12579.33279792</v>
      </c>
    </row>
    <row r="21" spans="1:29" ht="15.75" customHeight="1">
      <c r="A21" s="70">
        <v>6</v>
      </c>
      <c r="B21" s="47" t="s">
        <v>47</v>
      </c>
      <c r="C21" s="47" t="s">
        <v>48</v>
      </c>
      <c r="D21" s="47" t="s">
        <v>49</v>
      </c>
      <c r="E21" s="28">
        <f t="shared" si="6"/>
        <v>14935.800000000001</v>
      </c>
      <c r="F21" s="60">
        <v>497.86</v>
      </c>
      <c r="G21" s="29">
        <v>16</v>
      </c>
      <c r="H21" s="32">
        <f t="shared" si="7"/>
        <v>7965.76</v>
      </c>
      <c r="I21" s="32"/>
      <c r="J21" s="32"/>
      <c r="K21" s="48">
        <v>0</v>
      </c>
      <c r="L21" s="31">
        <f>SUM(H21:K21)</f>
        <v>7965.76</v>
      </c>
      <c r="M21" s="171">
        <v>878.42</v>
      </c>
      <c r="N21" s="171">
        <v>211.1</v>
      </c>
      <c r="O21" s="28">
        <v>5000</v>
      </c>
      <c r="P21" s="295">
        <v>896.34</v>
      </c>
      <c r="Q21" s="30">
        <f>SUM(M21:P21)</f>
        <v>6985.8600000000006</v>
      </c>
      <c r="R21" s="294">
        <f>+L21-Q21</f>
        <v>979.89999999999964</v>
      </c>
      <c r="S21" s="27"/>
      <c r="T21" s="176">
        <v>318.63040000000001</v>
      </c>
      <c r="U21" s="67">
        <v>2244.0100000000002</v>
      </c>
      <c r="V21" s="67">
        <f t="shared" si="10"/>
        <v>2562.6404000000002</v>
      </c>
      <c r="W21" s="164">
        <f t="shared" si="1"/>
        <v>7965.76</v>
      </c>
      <c r="X21" s="27"/>
      <c r="Y21" s="33">
        <f t="shared" ref="Y21:Y40" si="12">+W21+V21</f>
        <v>10528.4004</v>
      </c>
      <c r="Z21" s="34">
        <f t="shared" si="2"/>
        <v>315.852012</v>
      </c>
      <c r="AA21" s="16">
        <f t="shared" si="3"/>
        <v>10844.252412</v>
      </c>
      <c r="AB21" s="34">
        <f t="shared" si="4"/>
        <v>1735.08038592</v>
      </c>
      <c r="AC21" s="34">
        <f t="shared" si="5"/>
        <v>12579.33279792</v>
      </c>
    </row>
    <row r="22" spans="1:29" ht="15.75" customHeight="1">
      <c r="A22" s="70">
        <v>7</v>
      </c>
      <c r="B22" s="47" t="s">
        <v>50</v>
      </c>
      <c r="C22" s="47" t="s">
        <v>45</v>
      </c>
      <c r="D22" s="47" t="s">
        <v>51</v>
      </c>
      <c r="E22" s="28">
        <f t="shared" si="6"/>
        <v>37339.5</v>
      </c>
      <c r="F22" s="60">
        <v>1244.6500000000001</v>
      </c>
      <c r="G22" s="29">
        <v>16</v>
      </c>
      <c r="H22" s="32">
        <f>F22*G22</f>
        <v>19914.400000000001</v>
      </c>
      <c r="I22" s="32"/>
      <c r="J22" s="32"/>
      <c r="K22" s="48">
        <v>0</v>
      </c>
      <c r="L22" s="31">
        <f t="shared" si="8"/>
        <v>19914.400000000001</v>
      </c>
      <c r="M22" s="171">
        <v>3527.92</v>
      </c>
      <c r="N22" s="171">
        <v>559.02</v>
      </c>
      <c r="O22" s="28">
        <v>0</v>
      </c>
      <c r="P22" s="171">
        <v>0</v>
      </c>
      <c r="Q22" s="30">
        <f t="shared" si="0"/>
        <v>4086.94</v>
      </c>
      <c r="R22" s="294">
        <f>+L22-Q22</f>
        <v>15827.460000000001</v>
      </c>
      <c r="S22" s="27"/>
      <c r="T22" s="176">
        <v>796.57600000000002</v>
      </c>
      <c r="U22" s="67">
        <v>5045</v>
      </c>
      <c r="V22" s="67">
        <f t="shared" si="10"/>
        <v>5841.576</v>
      </c>
      <c r="W22" s="164">
        <f t="shared" si="1"/>
        <v>19914.400000000001</v>
      </c>
      <c r="X22" s="27"/>
      <c r="Y22" s="33">
        <f t="shared" si="12"/>
        <v>25755.976000000002</v>
      </c>
      <c r="Z22" s="34">
        <f t="shared" si="2"/>
        <v>772.67928000000006</v>
      </c>
      <c r="AA22" s="16">
        <f t="shared" si="3"/>
        <v>26528.655280000003</v>
      </c>
      <c r="AB22" s="34">
        <f t="shared" si="4"/>
        <v>4244.5848448000006</v>
      </c>
      <c r="AC22" s="34">
        <f t="shared" si="5"/>
        <v>30773.240124800002</v>
      </c>
    </row>
    <row r="23" spans="1:29" ht="15.75" customHeight="1">
      <c r="A23" s="70">
        <v>8</v>
      </c>
      <c r="B23" s="47" t="s">
        <v>52</v>
      </c>
      <c r="C23" s="47" t="s">
        <v>45</v>
      </c>
      <c r="D23" s="47" t="s">
        <v>46</v>
      </c>
      <c r="E23" s="28">
        <f t="shared" si="6"/>
        <v>14935.800000000001</v>
      </c>
      <c r="F23" s="60">
        <v>497.86</v>
      </c>
      <c r="G23" s="29">
        <v>16</v>
      </c>
      <c r="H23" s="32">
        <f t="shared" si="7"/>
        <v>7965.76</v>
      </c>
      <c r="I23" s="32"/>
      <c r="J23" s="32"/>
      <c r="K23" s="48">
        <v>0</v>
      </c>
      <c r="L23" s="31">
        <f t="shared" si="8"/>
        <v>7965.76</v>
      </c>
      <c r="M23" s="171">
        <v>878.42</v>
      </c>
      <c r="N23" s="171">
        <v>211.1</v>
      </c>
      <c r="O23" s="28">
        <v>0</v>
      </c>
      <c r="P23" s="171">
        <v>0</v>
      </c>
      <c r="Q23" s="30">
        <f t="shared" si="0"/>
        <v>1089.52</v>
      </c>
      <c r="R23" s="294">
        <f t="shared" si="9"/>
        <v>6876.24</v>
      </c>
      <c r="S23" s="27"/>
      <c r="T23" s="176">
        <v>318.63040000000001</v>
      </c>
      <c r="U23" s="67">
        <v>2244.0100000000002</v>
      </c>
      <c r="V23" s="67">
        <f t="shared" si="10"/>
        <v>2562.6404000000002</v>
      </c>
      <c r="W23" s="164">
        <f t="shared" si="1"/>
        <v>7965.76</v>
      </c>
      <c r="X23" s="27"/>
      <c r="Y23" s="33">
        <f t="shared" si="12"/>
        <v>10528.4004</v>
      </c>
      <c r="Z23" s="34">
        <f t="shared" si="2"/>
        <v>315.852012</v>
      </c>
      <c r="AA23" s="16">
        <f t="shared" si="3"/>
        <v>10844.252412</v>
      </c>
      <c r="AB23" s="34">
        <f t="shared" si="4"/>
        <v>1735.08038592</v>
      </c>
      <c r="AC23" s="34">
        <f t="shared" si="5"/>
        <v>12579.33279792</v>
      </c>
    </row>
    <row r="24" spans="1:29" ht="15.75" customHeight="1">
      <c r="A24" s="70">
        <v>9</v>
      </c>
      <c r="B24" s="152" t="s">
        <v>53</v>
      </c>
      <c r="C24" s="47" t="s">
        <v>39</v>
      </c>
      <c r="D24" s="47" t="s">
        <v>54</v>
      </c>
      <c r="E24" s="28">
        <f t="shared" si="6"/>
        <v>14935.800000000001</v>
      </c>
      <c r="F24" s="60">
        <v>497.86</v>
      </c>
      <c r="G24" s="29">
        <v>16</v>
      </c>
      <c r="H24" s="32">
        <f t="shared" si="7"/>
        <v>7965.76</v>
      </c>
      <c r="I24" s="32"/>
      <c r="J24" s="32"/>
      <c r="K24" s="48">
        <v>0</v>
      </c>
      <c r="L24" s="31">
        <f t="shared" si="8"/>
        <v>7965.76</v>
      </c>
      <c r="M24" s="171">
        <v>878.42</v>
      </c>
      <c r="N24" s="171">
        <v>211.1</v>
      </c>
      <c r="O24" s="28">
        <v>0</v>
      </c>
      <c r="P24" s="295">
        <v>648.84</v>
      </c>
      <c r="Q24" s="30">
        <f t="shared" si="0"/>
        <v>1738.3600000000001</v>
      </c>
      <c r="R24" s="294">
        <f t="shared" si="9"/>
        <v>6227.4</v>
      </c>
      <c r="S24" s="27"/>
      <c r="T24" s="176">
        <v>318.63040000000001</v>
      </c>
      <c r="U24" s="67">
        <v>2244.0100000000002</v>
      </c>
      <c r="V24" s="67">
        <f t="shared" si="10"/>
        <v>2562.6404000000002</v>
      </c>
      <c r="W24" s="164">
        <f t="shared" si="1"/>
        <v>7965.76</v>
      </c>
      <c r="X24" s="27"/>
      <c r="Y24" s="33">
        <f t="shared" si="12"/>
        <v>10528.4004</v>
      </c>
      <c r="Z24" s="34">
        <f t="shared" ref="Z24:Z33" si="13">+Y24*$Z$12</f>
        <v>315.852012</v>
      </c>
      <c r="AA24" s="16">
        <f t="shared" ref="AA24:AA33" si="14">+Y24+Z24</f>
        <v>10844.252412</v>
      </c>
      <c r="AB24" s="34">
        <f t="shared" ref="AB24:AB33" si="15">+AA24*$AB$14</f>
        <v>1735.08038592</v>
      </c>
      <c r="AC24" s="34">
        <f t="shared" ref="AC24:AC33" si="16">+AA24+AB24</f>
        <v>12579.33279792</v>
      </c>
    </row>
    <row r="25" spans="1:29" ht="15.75" customHeight="1">
      <c r="A25" s="70">
        <v>10</v>
      </c>
      <c r="B25" s="153" t="s">
        <v>55</v>
      </c>
      <c r="C25" s="47" t="s">
        <v>39</v>
      </c>
      <c r="D25" s="47" t="s">
        <v>56</v>
      </c>
      <c r="E25" s="28">
        <f t="shared" si="6"/>
        <v>29871.600000000002</v>
      </c>
      <c r="F25" s="60">
        <v>995.72</v>
      </c>
      <c r="G25" s="29">
        <v>16</v>
      </c>
      <c r="H25" s="32">
        <f t="shared" si="7"/>
        <v>15931.52</v>
      </c>
      <c r="I25" s="32"/>
      <c r="J25" s="32"/>
      <c r="K25" s="48">
        <v>0</v>
      </c>
      <c r="L25" s="31">
        <f t="shared" si="8"/>
        <v>15931.52</v>
      </c>
      <c r="M25" s="171">
        <v>2591.15</v>
      </c>
      <c r="N25" s="171">
        <v>443.05</v>
      </c>
      <c r="O25" s="28">
        <v>0</v>
      </c>
      <c r="P25" s="171">
        <v>0</v>
      </c>
      <c r="Q25" s="30">
        <f t="shared" si="0"/>
        <v>3034.2000000000003</v>
      </c>
      <c r="R25" s="294">
        <f t="shared" si="9"/>
        <v>12897.32</v>
      </c>
      <c r="S25" s="27"/>
      <c r="T25" s="176">
        <v>637.26080000000002</v>
      </c>
      <c r="U25" s="67">
        <v>4111.37</v>
      </c>
      <c r="V25" s="67">
        <f t="shared" si="10"/>
        <v>4748.6307999999999</v>
      </c>
      <c r="W25" s="164">
        <f t="shared" si="1"/>
        <v>15931.52</v>
      </c>
      <c r="X25" s="27"/>
      <c r="Y25" s="33">
        <f t="shared" si="12"/>
        <v>20680.150799999999</v>
      </c>
      <c r="Z25" s="34">
        <f t="shared" si="13"/>
        <v>620.40452399999992</v>
      </c>
      <c r="AA25" s="16">
        <f t="shared" si="14"/>
        <v>21300.555324000001</v>
      </c>
      <c r="AB25" s="34">
        <f t="shared" si="15"/>
        <v>3408.0888518400002</v>
      </c>
      <c r="AC25" s="34">
        <f t="shared" si="16"/>
        <v>24708.64417584</v>
      </c>
    </row>
    <row r="26" spans="1:29" ht="15.75" customHeight="1">
      <c r="A26" s="70">
        <v>11</v>
      </c>
      <c r="B26" s="152" t="s">
        <v>57</v>
      </c>
      <c r="C26" s="47" t="s">
        <v>39</v>
      </c>
      <c r="D26" s="47" t="s">
        <v>58</v>
      </c>
      <c r="E26" s="28">
        <f t="shared" si="6"/>
        <v>22403.699999999997</v>
      </c>
      <c r="F26" s="60">
        <v>746.79</v>
      </c>
      <c r="G26" s="29">
        <v>16</v>
      </c>
      <c r="H26" s="32">
        <f t="shared" si="7"/>
        <v>11948.64</v>
      </c>
      <c r="I26" s="32"/>
      <c r="J26" s="32"/>
      <c r="K26" s="48">
        <v>0</v>
      </c>
      <c r="L26" s="31">
        <f t="shared" si="8"/>
        <v>11948.64</v>
      </c>
      <c r="M26" s="171">
        <v>1729.17</v>
      </c>
      <c r="N26" s="171">
        <v>327.08</v>
      </c>
      <c r="O26" s="28">
        <v>0</v>
      </c>
      <c r="P26" s="295">
        <v>2663.06</v>
      </c>
      <c r="Q26" s="30">
        <f>SUM(M26:P26)</f>
        <v>4719.3099999999995</v>
      </c>
      <c r="R26" s="294">
        <f>+L26-Q26</f>
        <v>7229.33</v>
      </c>
      <c r="S26" s="27"/>
      <c r="T26" s="225">
        <v>477.94560000000001</v>
      </c>
      <c r="U26" s="67">
        <v>3177.71</v>
      </c>
      <c r="V26" s="67">
        <f t="shared" si="10"/>
        <v>3655.6556</v>
      </c>
      <c r="W26" s="164">
        <f t="shared" si="1"/>
        <v>11948.64</v>
      </c>
      <c r="X26" s="27"/>
      <c r="Y26" s="33">
        <f t="shared" si="12"/>
        <v>15604.295599999999</v>
      </c>
      <c r="Z26" s="34">
        <f t="shared" si="13"/>
        <v>468.12886799999995</v>
      </c>
      <c r="AA26" s="16">
        <f t="shared" si="14"/>
        <v>16072.424467999999</v>
      </c>
      <c r="AB26" s="34">
        <f t="shared" si="15"/>
        <v>2571.58791488</v>
      </c>
      <c r="AC26" s="34">
        <f t="shared" si="16"/>
        <v>18644.012382879999</v>
      </c>
    </row>
    <row r="27" spans="1:29" s="64" customFormat="1" ht="15.75" customHeight="1">
      <c r="A27" s="70">
        <v>14</v>
      </c>
      <c r="B27" s="152" t="s">
        <v>59</v>
      </c>
      <c r="C27" s="47" t="s">
        <v>60</v>
      </c>
      <c r="D27" s="47" t="s">
        <v>61</v>
      </c>
      <c r="E27" s="221">
        <f t="shared" si="6"/>
        <v>14935.800000000001</v>
      </c>
      <c r="F27" s="60">
        <v>497.86</v>
      </c>
      <c r="G27" s="29">
        <v>16</v>
      </c>
      <c r="H27" s="32">
        <f t="shared" si="7"/>
        <v>7965.76</v>
      </c>
      <c r="I27" s="60"/>
      <c r="J27" s="60"/>
      <c r="K27" s="222">
        <v>0</v>
      </c>
      <c r="L27" s="223">
        <f t="shared" si="8"/>
        <v>7965.76</v>
      </c>
      <c r="M27" s="171">
        <v>878.42</v>
      </c>
      <c r="N27" s="171">
        <v>211.1</v>
      </c>
      <c r="O27" s="28">
        <v>0</v>
      </c>
      <c r="P27" s="295">
        <v>1891.16</v>
      </c>
      <c r="Q27" s="224">
        <f t="shared" si="0"/>
        <v>2980.6800000000003</v>
      </c>
      <c r="R27" s="294">
        <f t="shared" si="9"/>
        <v>4985.08</v>
      </c>
      <c r="S27" s="67"/>
      <c r="T27" s="225">
        <v>318.63040000000001</v>
      </c>
      <c r="U27" s="67">
        <v>2244.0100000000002</v>
      </c>
      <c r="V27" s="67">
        <f t="shared" si="10"/>
        <v>2562.6404000000002</v>
      </c>
      <c r="W27" s="164">
        <f t="shared" si="1"/>
        <v>7965.76</v>
      </c>
      <c r="X27" s="67"/>
      <c r="Y27" s="33">
        <f t="shared" si="12"/>
        <v>10528.4004</v>
      </c>
      <c r="Z27" s="34">
        <f t="shared" si="13"/>
        <v>315.852012</v>
      </c>
      <c r="AA27" s="16">
        <f t="shared" si="14"/>
        <v>10844.252412</v>
      </c>
      <c r="AB27" s="34">
        <f t="shared" si="15"/>
        <v>1735.08038592</v>
      </c>
      <c r="AC27" s="34">
        <f t="shared" si="16"/>
        <v>12579.33279792</v>
      </c>
    </row>
    <row r="28" spans="1:29" ht="15.75" customHeight="1">
      <c r="A28" s="70">
        <v>15</v>
      </c>
      <c r="B28" s="152" t="s">
        <v>62</v>
      </c>
      <c r="C28" s="47" t="s">
        <v>34</v>
      </c>
      <c r="D28" s="47" t="s">
        <v>63</v>
      </c>
      <c r="E28" s="28">
        <f t="shared" si="6"/>
        <v>22403.699999999997</v>
      </c>
      <c r="F28" s="60">
        <v>746.79</v>
      </c>
      <c r="G28" s="29">
        <v>16</v>
      </c>
      <c r="H28" s="32">
        <f t="shared" si="7"/>
        <v>11948.64</v>
      </c>
      <c r="I28" s="32"/>
      <c r="J28" s="32"/>
      <c r="K28" s="48">
        <v>0</v>
      </c>
      <c r="L28" s="31">
        <f t="shared" si="8"/>
        <v>11948.64</v>
      </c>
      <c r="M28" s="171">
        <v>1729.17</v>
      </c>
      <c r="N28" s="171">
        <v>327.08</v>
      </c>
      <c r="O28" s="28">
        <v>0</v>
      </c>
      <c r="P28" s="171">
        <v>0</v>
      </c>
      <c r="Q28" s="30">
        <f t="shared" si="0"/>
        <v>2056.25</v>
      </c>
      <c r="R28" s="294">
        <f t="shared" si="9"/>
        <v>9892.39</v>
      </c>
      <c r="S28" s="27"/>
      <c r="T28" s="176">
        <v>477.94560000000001</v>
      </c>
      <c r="U28" s="67">
        <v>3177.71</v>
      </c>
      <c r="V28" s="67">
        <f t="shared" si="10"/>
        <v>3655.6556</v>
      </c>
      <c r="W28" s="164">
        <f t="shared" si="1"/>
        <v>11948.64</v>
      </c>
      <c r="X28" s="27"/>
      <c r="Y28" s="33">
        <f t="shared" si="12"/>
        <v>15604.295599999999</v>
      </c>
      <c r="Z28" s="34">
        <f t="shared" si="13"/>
        <v>468.12886799999995</v>
      </c>
      <c r="AA28" s="16">
        <f t="shared" si="14"/>
        <v>16072.424467999999</v>
      </c>
      <c r="AB28" s="34">
        <f t="shared" si="15"/>
        <v>2571.58791488</v>
      </c>
      <c r="AC28" s="34">
        <f t="shared" si="16"/>
        <v>18644.012382879999</v>
      </c>
    </row>
    <row r="29" spans="1:29" ht="15.75" customHeight="1">
      <c r="A29" s="70">
        <v>16</v>
      </c>
      <c r="B29" s="152" t="s">
        <v>64</v>
      </c>
      <c r="C29" s="47" t="s">
        <v>34</v>
      </c>
      <c r="D29" s="47" t="s">
        <v>65</v>
      </c>
      <c r="E29" s="28">
        <f t="shared" si="6"/>
        <v>14935.800000000001</v>
      </c>
      <c r="F29" s="60">
        <v>497.86</v>
      </c>
      <c r="G29" s="29">
        <v>16</v>
      </c>
      <c r="H29" s="32">
        <f t="shared" si="7"/>
        <v>7965.76</v>
      </c>
      <c r="I29" s="32"/>
      <c r="J29" s="32"/>
      <c r="K29" s="48">
        <v>0</v>
      </c>
      <c r="L29" s="31">
        <f t="shared" si="8"/>
        <v>7965.76</v>
      </c>
      <c r="M29" s="171">
        <v>878.42</v>
      </c>
      <c r="N29" s="171">
        <v>211.1</v>
      </c>
      <c r="O29" s="28">
        <v>1300</v>
      </c>
      <c r="P29" s="295">
        <v>1481.74</v>
      </c>
      <c r="Q29" s="30">
        <f t="shared" si="0"/>
        <v>3871.26</v>
      </c>
      <c r="R29" s="294">
        <f t="shared" si="9"/>
        <v>4094.5</v>
      </c>
      <c r="S29" s="27"/>
      <c r="T29" s="176">
        <v>318.63040000000001</v>
      </c>
      <c r="U29" s="67">
        <v>2244.0100000000002</v>
      </c>
      <c r="V29" s="67">
        <f t="shared" si="10"/>
        <v>2562.6404000000002</v>
      </c>
      <c r="W29" s="164">
        <f t="shared" si="1"/>
        <v>7965.76</v>
      </c>
      <c r="X29" s="27"/>
      <c r="Y29" s="33">
        <f t="shared" si="12"/>
        <v>10528.4004</v>
      </c>
      <c r="Z29" s="34">
        <f t="shared" si="13"/>
        <v>315.852012</v>
      </c>
      <c r="AA29" s="16">
        <f t="shared" si="14"/>
        <v>10844.252412</v>
      </c>
      <c r="AB29" s="34">
        <f t="shared" si="15"/>
        <v>1735.08038592</v>
      </c>
      <c r="AC29" s="34">
        <f t="shared" si="16"/>
        <v>12579.33279792</v>
      </c>
    </row>
    <row r="30" spans="1:29" ht="15.75" customHeight="1">
      <c r="A30" s="70">
        <v>17</v>
      </c>
      <c r="B30" s="152" t="s">
        <v>66</v>
      </c>
      <c r="C30" s="47" t="s">
        <v>67</v>
      </c>
      <c r="D30" s="47" t="s">
        <v>68</v>
      </c>
      <c r="E30" s="28">
        <f t="shared" si="6"/>
        <v>14935.800000000001</v>
      </c>
      <c r="F30" s="60">
        <v>497.86</v>
      </c>
      <c r="G30" s="29">
        <v>16</v>
      </c>
      <c r="H30" s="32">
        <f t="shared" si="7"/>
        <v>7965.76</v>
      </c>
      <c r="I30" s="32"/>
      <c r="J30" s="32"/>
      <c r="K30" s="48">
        <v>0</v>
      </c>
      <c r="L30" s="31">
        <f t="shared" si="8"/>
        <v>7965.76</v>
      </c>
      <c r="M30" s="171">
        <v>878.42</v>
      </c>
      <c r="N30" s="171">
        <v>211.1</v>
      </c>
      <c r="O30" s="28">
        <v>0</v>
      </c>
      <c r="P30" s="171">
        <v>0</v>
      </c>
      <c r="Q30" s="30">
        <f t="shared" si="0"/>
        <v>1089.52</v>
      </c>
      <c r="R30" s="294">
        <f t="shared" si="9"/>
        <v>6876.24</v>
      </c>
      <c r="S30" s="27"/>
      <c r="T30" s="176">
        <v>318.63040000000001</v>
      </c>
      <c r="U30" s="67">
        <v>2244.0100000000002</v>
      </c>
      <c r="V30" s="67">
        <f t="shared" si="10"/>
        <v>2562.6404000000002</v>
      </c>
      <c r="W30" s="164">
        <f t="shared" si="1"/>
        <v>7965.76</v>
      </c>
      <c r="X30" s="27"/>
      <c r="Y30" s="33">
        <f t="shared" si="12"/>
        <v>10528.4004</v>
      </c>
      <c r="Z30" s="34">
        <f t="shared" si="13"/>
        <v>315.852012</v>
      </c>
      <c r="AA30" s="16">
        <f t="shared" si="14"/>
        <v>10844.252412</v>
      </c>
      <c r="AB30" s="34">
        <f t="shared" si="15"/>
        <v>1735.08038592</v>
      </c>
      <c r="AC30" s="34">
        <f t="shared" si="16"/>
        <v>12579.33279792</v>
      </c>
    </row>
    <row r="31" spans="1:29" ht="15" customHeight="1">
      <c r="A31" s="70">
        <v>18</v>
      </c>
      <c r="B31" s="152" t="s">
        <v>69</v>
      </c>
      <c r="C31" s="47" t="s">
        <v>70</v>
      </c>
      <c r="D31" s="47" t="s">
        <v>71</v>
      </c>
      <c r="E31" s="28">
        <f t="shared" si="6"/>
        <v>14935.800000000001</v>
      </c>
      <c r="F31" s="60">
        <v>497.86</v>
      </c>
      <c r="G31" s="29">
        <v>16</v>
      </c>
      <c r="H31" s="32">
        <f t="shared" si="7"/>
        <v>7965.76</v>
      </c>
      <c r="I31" s="32"/>
      <c r="J31" s="32"/>
      <c r="K31" s="48"/>
      <c r="L31" s="31">
        <f t="shared" si="8"/>
        <v>7965.76</v>
      </c>
      <c r="M31" s="171">
        <v>878.42</v>
      </c>
      <c r="N31" s="171">
        <v>211.1</v>
      </c>
      <c r="O31" s="28">
        <v>900</v>
      </c>
      <c r="P31" s="295">
        <v>956.06</v>
      </c>
      <c r="Q31" s="30">
        <f t="shared" si="0"/>
        <v>2945.58</v>
      </c>
      <c r="R31" s="294">
        <f t="shared" si="9"/>
        <v>5020.18</v>
      </c>
      <c r="S31" s="27"/>
      <c r="T31" s="176">
        <v>318.63040000000001</v>
      </c>
      <c r="U31" s="67">
        <v>2244.0100000000002</v>
      </c>
      <c r="V31" s="67">
        <f t="shared" si="10"/>
        <v>2562.6404000000002</v>
      </c>
      <c r="W31" s="164">
        <f t="shared" si="1"/>
        <v>7965.76</v>
      </c>
      <c r="X31" s="27"/>
      <c r="Y31" s="33">
        <f t="shared" si="12"/>
        <v>10528.4004</v>
      </c>
      <c r="Z31" s="34">
        <f t="shared" si="13"/>
        <v>315.852012</v>
      </c>
      <c r="AA31" s="16">
        <f t="shared" si="14"/>
        <v>10844.252412</v>
      </c>
      <c r="AB31" s="34">
        <f t="shared" si="15"/>
        <v>1735.08038592</v>
      </c>
      <c r="AC31" s="34">
        <f t="shared" si="16"/>
        <v>12579.33279792</v>
      </c>
    </row>
    <row r="32" spans="1:29" ht="15.75" customHeight="1">
      <c r="A32" s="70">
        <v>12</v>
      </c>
      <c r="B32" s="152" t="s">
        <v>72</v>
      </c>
      <c r="C32" s="47" t="s">
        <v>34</v>
      </c>
      <c r="D32" s="47" t="s">
        <v>65</v>
      </c>
      <c r="E32" s="28">
        <f t="shared" ref="E32" si="17">+F32*30</f>
        <v>14935.800000000001</v>
      </c>
      <c r="F32" s="60">
        <v>497.86</v>
      </c>
      <c r="G32" s="29">
        <v>16</v>
      </c>
      <c r="H32" s="32">
        <f t="shared" ref="H32" si="18">F32*G32</f>
        <v>7965.76</v>
      </c>
      <c r="I32" s="32"/>
      <c r="J32" s="32"/>
      <c r="K32" s="48">
        <v>0</v>
      </c>
      <c r="L32" s="31">
        <f t="shared" ref="L32" si="19">SUM(H32:K32)</f>
        <v>7965.76</v>
      </c>
      <c r="M32" s="171">
        <v>878.42</v>
      </c>
      <c r="N32" s="171">
        <v>211.1</v>
      </c>
      <c r="O32" s="28">
        <v>0</v>
      </c>
      <c r="P32" s="171">
        <v>0</v>
      </c>
      <c r="Q32" s="30">
        <f t="shared" ref="Q32" si="20">SUM(M32:P32)</f>
        <v>1089.52</v>
      </c>
      <c r="R32" s="294">
        <f t="shared" ref="R32" si="21">+L32-Q32</f>
        <v>6876.24</v>
      </c>
      <c r="S32" s="27"/>
      <c r="T32" s="176">
        <v>318.63040000000001</v>
      </c>
      <c r="U32" s="67">
        <v>2244.0100000000002</v>
      </c>
      <c r="V32" s="67">
        <f t="shared" si="10"/>
        <v>2562.6404000000002</v>
      </c>
      <c r="W32" s="164">
        <f t="shared" si="1"/>
        <v>7965.76</v>
      </c>
      <c r="X32" s="27"/>
      <c r="Y32" s="33">
        <f t="shared" si="12"/>
        <v>10528.4004</v>
      </c>
      <c r="Z32" s="34">
        <f t="shared" si="13"/>
        <v>315.852012</v>
      </c>
      <c r="AA32" s="16">
        <f t="shared" si="14"/>
        <v>10844.252412</v>
      </c>
      <c r="AB32" s="34">
        <f t="shared" si="15"/>
        <v>1735.08038592</v>
      </c>
      <c r="AC32" s="34">
        <f t="shared" si="16"/>
        <v>12579.33279792</v>
      </c>
    </row>
    <row r="33" spans="1:32" ht="15.75" customHeight="1">
      <c r="A33" s="70">
        <v>19</v>
      </c>
      <c r="B33" s="152" t="s">
        <v>73</v>
      </c>
      <c r="C33" s="47" t="s">
        <v>45</v>
      </c>
      <c r="D33" s="47" t="s">
        <v>74</v>
      </c>
      <c r="E33" s="28">
        <f t="shared" si="6"/>
        <v>14935.800000000001</v>
      </c>
      <c r="F33" s="60">
        <v>497.86</v>
      </c>
      <c r="G33" s="29">
        <v>16</v>
      </c>
      <c r="H33" s="32">
        <f t="shared" si="7"/>
        <v>7965.76</v>
      </c>
      <c r="I33" s="32"/>
      <c r="J33" s="32"/>
      <c r="K33" s="48"/>
      <c r="L33" s="31">
        <f t="shared" si="8"/>
        <v>7965.76</v>
      </c>
      <c r="M33" s="171">
        <v>878.42</v>
      </c>
      <c r="N33" s="171">
        <v>211.1</v>
      </c>
      <c r="O33" s="28">
        <v>500</v>
      </c>
      <c r="P33" s="295">
        <v>2013.94</v>
      </c>
      <c r="Q33" s="30">
        <f t="shared" si="0"/>
        <v>3603.46</v>
      </c>
      <c r="R33" s="294">
        <f t="shared" si="9"/>
        <v>4362.3</v>
      </c>
      <c r="S33" s="27"/>
      <c r="T33" s="176">
        <v>318.63040000000001</v>
      </c>
      <c r="U33" s="67">
        <v>2244.0100000000002</v>
      </c>
      <c r="V33" s="67">
        <f t="shared" si="10"/>
        <v>2562.6404000000002</v>
      </c>
      <c r="W33" s="164">
        <f t="shared" si="1"/>
        <v>7965.76</v>
      </c>
      <c r="X33" s="27"/>
      <c r="Y33" s="33">
        <f t="shared" si="12"/>
        <v>10528.4004</v>
      </c>
      <c r="Z33" s="34">
        <f t="shared" si="13"/>
        <v>315.852012</v>
      </c>
      <c r="AA33" s="16">
        <f t="shared" si="14"/>
        <v>10844.252412</v>
      </c>
      <c r="AB33" s="34">
        <f t="shared" si="15"/>
        <v>1735.08038592</v>
      </c>
      <c r="AC33" s="34">
        <f t="shared" si="16"/>
        <v>12579.33279792</v>
      </c>
    </row>
    <row r="34" spans="1:32" ht="17.45" customHeight="1">
      <c r="A34" s="70">
        <v>20</v>
      </c>
      <c r="B34" s="152" t="s">
        <v>75</v>
      </c>
      <c r="C34" s="47" t="s">
        <v>60</v>
      </c>
      <c r="D34" s="47" t="s">
        <v>76</v>
      </c>
      <c r="E34" s="28">
        <f t="shared" si="6"/>
        <v>14935.800000000001</v>
      </c>
      <c r="F34" s="60">
        <v>497.86</v>
      </c>
      <c r="G34" s="29">
        <v>16</v>
      </c>
      <c r="H34" s="32">
        <f t="shared" si="7"/>
        <v>7965.76</v>
      </c>
      <c r="I34" s="32"/>
      <c r="J34" s="32"/>
      <c r="K34" s="48"/>
      <c r="L34" s="31">
        <f t="shared" si="8"/>
        <v>7965.76</v>
      </c>
      <c r="M34" s="171">
        <v>878.42</v>
      </c>
      <c r="N34" s="171">
        <v>211.1</v>
      </c>
      <c r="O34" s="28">
        <v>0</v>
      </c>
      <c r="P34" s="171">
        <v>0</v>
      </c>
      <c r="Q34" s="30">
        <f t="shared" si="0"/>
        <v>1089.52</v>
      </c>
      <c r="R34" s="294">
        <f t="shared" si="9"/>
        <v>6876.24</v>
      </c>
      <c r="S34" s="27"/>
      <c r="T34" s="176">
        <v>318.63040000000001</v>
      </c>
      <c r="U34" s="67">
        <v>2244.0100000000002</v>
      </c>
      <c r="V34" s="67">
        <f t="shared" si="10"/>
        <v>2562.6404000000002</v>
      </c>
      <c r="W34" s="164">
        <f t="shared" si="1"/>
        <v>7965.76</v>
      </c>
      <c r="X34" s="27"/>
      <c r="Y34" s="33">
        <f t="shared" si="12"/>
        <v>10528.4004</v>
      </c>
      <c r="Z34" s="34">
        <f t="shared" ref="Z34:Z36" si="22">+Y34*$Z$12</f>
        <v>315.852012</v>
      </c>
      <c r="AA34" s="16">
        <f t="shared" ref="AA34:AA36" si="23">+Y34+Z34</f>
        <v>10844.252412</v>
      </c>
      <c r="AB34" s="34">
        <f t="shared" ref="AB34:AB36" si="24">+AA34*$AB$14</f>
        <v>1735.08038592</v>
      </c>
      <c r="AC34" s="34">
        <f t="shared" ref="AC34:AC37" si="25">+AA34+AB34</f>
        <v>12579.33279792</v>
      </c>
    </row>
    <row r="35" spans="1:32" ht="17.45" customHeight="1">
      <c r="A35" s="70">
        <v>22</v>
      </c>
      <c r="B35" s="152" t="s">
        <v>77</v>
      </c>
      <c r="C35" s="47" t="s">
        <v>70</v>
      </c>
      <c r="D35" s="47" t="s">
        <v>78</v>
      </c>
      <c r="E35" s="28">
        <f>+F35*30</f>
        <v>37339.5</v>
      </c>
      <c r="F35" s="60">
        <v>1244.6500000000001</v>
      </c>
      <c r="G35" s="29">
        <v>16</v>
      </c>
      <c r="H35" s="32">
        <f>F35*G35</f>
        <v>19914.400000000001</v>
      </c>
      <c r="I35" s="32"/>
      <c r="J35" s="32"/>
      <c r="K35" s="48"/>
      <c r="L35" s="31">
        <f t="shared" ref="L35:L42" si="26">SUM(H35:K35)</f>
        <v>19914.400000000001</v>
      </c>
      <c r="M35" s="171">
        <v>3527.92</v>
      </c>
      <c r="N35" s="171">
        <v>559.02</v>
      </c>
      <c r="O35" s="28">
        <v>0</v>
      </c>
      <c r="P35" s="171">
        <v>0</v>
      </c>
      <c r="Q35" s="30">
        <f t="shared" ref="Q35" si="27">SUM(M35:P35)</f>
        <v>4086.94</v>
      </c>
      <c r="R35" s="294">
        <f t="shared" si="9"/>
        <v>15827.460000000001</v>
      </c>
      <c r="S35" s="27"/>
      <c r="T35" s="176">
        <v>796.57600000000002</v>
      </c>
      <c r="U35" s="67">
        <v>5045</v>
      </c>
      <c r="V35" s="67">
        <f t="shared" si="10"/>
        <v>5841.576</v>
      </c>
      <c r="W35" s="164">
        <f t="shared" si="1"/>
        <v>19914.400000000001</v>
      </c>
      <c r="X35" s="27"/>
      <c r="Y35" s="33">
        <f t="shared" si="12"/>
        <v>25755.976000000002</v>
      </c>
      <c r="Z35" s="34">
        <f t="shared" si="22"/>
        <v>772.67928000000006</v>
      </c>
      <c r="AA35" s="16">
        <f t="shared" si="23"/>
        <v>26528.655280000003</v>
      </c>
      <c r="AB35" s="34">
        <f t="shared" si="24"/>
        <v>4244.5848448000006</v>
      </c>
      <c r="AC35" s="34">
        <f t="shared" si="25"/>
        <v>30773.240124800002</v>
      </c>
    </row>
    <row r="36" spans="1:32" ht="17.45" customHeight="1">
      <c r="A36" s="70">
        <v>21</v>
      </c>
      <c r="B36" s="152" t="s">
        <v>79</v>
      </c>
      <c r="C36" s="47" t="s">
        <v>80</v>
      </c>
      <c r="D36" s="47" t="s">
        <v>81</v>
      </c>
      <c r="E36" s="28">
        <f t="shared" si="6"/>
        <v>37339.5</v>
      </c>
      <c r="F36" s="60">
        <v>1244.6500000000001</v>
      </c>
      <c r="G36" s="29">
        <v>16</v>
      </c>
      <c r="H36" s="32">
        <f t="shared" si="7"/>
        <v>19914.400000000001</v>
      </c>
      <c r="I36" s="32"/>
      <c r="J36" s="32"/>
      <c r="K36" s="48"/>
      <c r="L36" s="31">
        <f t="shared" si="26"/>
        <v>19914.400000000001</v>
      </c>
      <c r="M36" s="171">
        <v>3527.92</v>
      </c>
      <c r="N36" s="171">
        <v>559.02</v>
      </c>
      <c r="O36" s="28">
        <v>0</v>
      </c>
      <c r="P36" s="171">
        <v>0</v>
      </c>
      <c r="Q36" s="30">
        <f>SUM(M36:P36)</f>
        <v>4086.94</v>
      </c>
      <c r="R36" s="294">
        <f t="shared" si="9"/>
        <v>15827.460000000001</v>
      </c>
      <c r="S36" s="27"/>
      <c r="T36" s="176">
        <v>796.57600000000002</v>
      </c>
      <c r="U36" s="67">
        <v>5045</v>
      </c>
      <c r="V36" s="67">
        <f t="shared" si="10"/>
        <v>5841.576</v>
      </c>
      <c r="W36" s="164">
        <f t="shared" si="1"/>
        <v>19914.400000000001</v>
      </c>
      <c r="X36" s="27"/>
      <c r="Y36" s="33">
        <f t="shared" si="12"/>
        <v>25755.976000000002</v>
      </c>
      <c r="Z36" s="34">
        <f t="shared" si="22"/>
        <v>772.67928000000006</v>
      </c>
      <c r="AA36" s="16">
        <f t="shared" si="23"/>
        <v>26528.655280000003</v>
      </c>
      <c r="AB36" s="34">
        <f t="shared" si="24"/>
        <v>4244.5848448000006</v>
      </c>
      <c r="AC36" s="34">
        <f t="shared" si="25"/>
        <v>30773.240124800002</v>
      </c>
    </row>
    <row r="37" spans="1:32" ht="17.45" customHeight="1">
      <c r="A37" s="70">
        <v>22</v>
      </c>
      <c r="B37" s="152" t="s">
        <v>82</v>
      </c>
      <c r="C37" s="47" t="s">
        <v>83</v>
      </c>
      <c r="D37" s="47" t="s">
        <v>84</v>
      </c>
      <c r="E37" s="28">
        <v>35000</v>
      </c>
      <c r="F37" s="60">
        <v>497.86</v>
      </c>
      <c r="G37" s="29">
        <v>16</v>
      </c>
      <c r="H37" s="32">
        <f t="shared" si="7"/>
        <v>7965.76</v>
      </c>
      <c r="I37" s="32"/>
      <c r="J37" s="32"/>
      <c r="K37" s="48"/>
      <c r="L37" s="31">
        <f t="shared" si="26"/>
        <v>7965.76</v>
      </c>
      <c r="M37" s="171">
        <v>878.42</v>
      </c>
      <c r="N37" s="171">
        <v>211.1</v>
      </c>
      <c r="O37" s="28">
        <v>0</v>
      </c>
      <c r="P37" s="295">
        <v>717.52</v>
      </c>
      <c r="Q37" s="30">
        <f>SUM(M37:P37)</f>
        <v>1807.04</v>
      </c>
      <c r="R37" s="294">
        <f t="shared" si="9"/>
        <v>6158.72</v>
      </c>
      <c r="S37" s="27"/>
      <c r="T37" s="225">
        <v>318.63040000000001</v>
      </c>
      <c r="U37" s="67">
        <v>2244.0100000000002</v>
      </c>
      <c r="V37" s="67">
        <f t="shared" si="10"/>
        <v>2562.6404000000002</v>
      </c>
      <c r="W37" s="164">
        <f t="shared" si="1"/>
        <v>7965.76</v>
      </c>
      <c r="X37" s="27"/>
      <c r="Y37" s="33">
        <f t="shared" si="12"/>
        <v>10528.4004</v>
      </c>
      <c r="Z37" s="34">
        <f>+Y37*$Z$12</f>
        <v>315.852012</v>
      </c>
      <c r="AA37" s="16">
        <f>+Y37+Z37</f>
        <v>10844.252412</v>
      </c>
      <c r="AB37" s="34">
        <f t="shared" ref="AB37:AB42" si="28">+AA37*$AB$14</f>
        <v>1735.08038592</v>
      </c>
      <c r="AC37" s="34">
        <f t="shared" si="25"/>
        <v>12579.33279792</v>
      </c>
    </row>
    <row r="38" spans="1:32" ht="17.45" customHeight="1">
      <c r="A38" s="70">
        <v>1</v>
      </c>
      <c r="B38" s="289" t="s">
        <v>85</v>
      </c>
      <c r="C38" s="47" t="s">
        <v>86</v>
      </c>
      <c r="D38" s="47" t="s">
        <v>84</v>
      </c>
      <c r="E38" s="28">
        <v>35000</v>
      </c>
      <c r="F38" s="60">
        <v>497.86</v>
      </c>
      <c r="G38" s="29">
        <v>16</v>
      </c>
      <c r="H38" s="32">
        <f t="shared" si="7"/>
        <v>7965.76</v>
      </c>
      <c r="I38" s="32"/>
      <c r="J38" s="32"/>
      <c r="K38" s="48"/>
      <c r="L38" s="31">
        <f t="shared" si="26"/>
        <v>7965.76</v>
      </c>
      <c r="M38" s="171">
        <v>878.42</v>
      </c>
      <c r="N38" s="171">
        <v>211.1</v>
      </c>
      <c r="O38" s="28">
        <v>0</v>
      </c>
      <c r="P38" s="171">
        <v>0</v>
      </c>
      <c r="Q38" s="30">
        <f t="shared" ref="Q38:Q41" si="29">SUM(M38:P38)</f>
        <v>1089.52</v>
      </c>
      <c r="R38" s="294">
        <f t="shared" si="9"/>
        <v>6876.24</v>
      </c>
      <c r="S38" s="27"/>
      <c r="T38" s="225">
        <v>318.63040000000001</v>
      </c>
      <c r="U38" s="67">
        <v>2244.0100000000002</v>
      </c>
      <c r="V38" s="67">
        <f t="shared" si="10"/>
        <v>2562.6404000000002</v>
      </c>
      <c r="W38" s="164">
        <f>+L38</f>
        <v>7965.76</v>
      </c>
      <c r="X38" s="27"/>
      <c r="Y38" s="33">
        <f>+W38+V38</f>
        <v>10528.4004</v>
      </c>
      <c r="Z38" s="34">
        <f>+Y38*$Z$12</f>
        <v>315.852012</v>
      </c>
      <c r="AA38" s="16">
        <f>+Y38+Z38</f>
        <v>10844.252412</v>
      </c>
      <c r="AB38" s="34">
        <f t="shared" si="28"/>
        <v>1735.08038592</v>
      </c>
      <c r="AC38" s="34">
        <f t="shared" ref="AC38:AC42" si="30">+AA38+AB38</f>
        <v>12579.33279792</v>
      </c>
      <c r="AD38" s="11" t="s">
        <v>87</v>
      </c>
    </row>
    <row r="39" spans="1:32" ht="17.45" customHeight="1">
      <c r="A39" s="70">
        <v>2</v>
      </c>
      <c r="B39" s="289" t="s">
        <v>88</v>
      </c>
      <c r="C39" s="47" t="s">
        <v>42</v>
      </c>
      <c r="D39" s="47" t="s">
        <v>89</v>
      </c>
      <c r="E39" s="28">
        <f>F39*30</f>
        <v>11202</v>
      </c>
      <c r="F39" s="60">
        <v>373.4</v>
      </c>
      <c r="G39" s="29">
        <v>16</v>
      </c>
      <c r="H39" s="32">
        <f>F39*G39</f>
        <v>5974.4</v>
      </c>
      <c r="I39" s="32"/>
      <c r="J39" s="32"/>
      <c r="K39" s="48"/>
      <c r="L39" s="31">
        <f t="shared" si="26"/>
        <v>5974.4</v>
      </c>
      <c r="M39" s="171">
        <v>518.38</v>
      </c>
      <c r="N39" s="171">
        <v>153.12</v>
      </c>
      <c r="O39" s="28">
        <v>0</v>
      </c>
      <c r="P39" s="171">
        <v>0</v>
      </c>
      <c r="Q39" s="30">
        <f t="shared" si="29"/>
        <v>671.5</v>
      </c>
      <c r="R39" s="294">
        <f t="shared" si="9"/>
        <v>5302.9</v>
      </c>
      <c r="S39" s="220">
        <f t="shared" si="9"/>
        <v>-4784.5199999999995</v>
      </c>
      <c r="T39" s="225">
        <v>238.976</v>
      </c>
      <c r="U39" s="67">
        <v>1734.9</v>
      </c>
      <c r="V39" s="67">
        <f t="shared" si="10"/>
        <v>1973.8760000000002</v>
      </c>
      <c r="W39" s="164">
        <f t="shared" ref="W39:W42" si="31">+L39</f>
        <v>5974.4</v>
      </c>
      <c r="X39" s="27"/>
      <c r="Y39" s="33">
        <f t="shared" si="12"/>
        <v>7948.2759999999998</v>
      </c>
      <c r="Z39" s="34">
        <f t="shared" ref="Z39:Z42" si="32">+Y39*$Z$12</f>
        <v>238.44827999999998</v>
      </c>
      <c r="AA39" s="16">
        <f t="shared" ref="AA39:AA42" si="33">+Y39+Z39</f>
        <v>8186.7242799999995</v>
      </c>
      <c r="AB39" s="34">
        <f t="shared" si="28"/>
        <v>1309.8758848</v>
      </c>
      <c r="AC39" s="34">
        <f t="shared" si="30"/>
        <v>9496.6001648000001</v>
      </c>
      <c r="AD39" s="11" t="s">
        <v>87</v>
      </c>
    </row>
    <row r="40" spans="1:32" ht="17.45" customHeight="1">
      <c r="A40" s="70">
        <v>3</v>
      </c>
      <c r="B40" s="289" t="s">
        <v>90</v>
      </c>
      <c r="C40" s="47" t="s">
        <v>91</v>
      </c>
      <c r="D40" s="47" t="s">
        <v>92</v>
      </c>
      <c r="E40" s="28">
        <v>16000</v>
      </c>
      <c r="F40" s="60">
        <v>497.86</v>
      </c>
      <c r="G40" s="29">
        <v>16</v>
      </c>
      <c r="H40" s="32">
        <f>F40*G40</f>
        <v>7965.76</v>
      </c>
      <c r="I40" s="32"/>
      <c r="J40" s="32"/>
      <c r="K40" s="48"/>
      <c r="L40" s="31">
        <f t="shared" si="26"/>
        <v>7965.76</v>
      </c>
      <c r="M40" s="171">
        <v>878.42</v>
      </c>
      <c r="N40" s="171">
        <v>211.1</v>
      </c>
      <c r="O40" s="28">
        <v>0</v>
      </c>
      <c r="P40" s="295">
        <v>2386.4</v>
      </c>
      <c r="Q40" s="30">
        <f t="shared" si="29"/>
        <v>3475.92</v>
      </c>
      <c r="R40" s="294">
        <f t="shared" si="9"/>
        <v>4489.84</v>
      </c>
      <c r="S40" s="27"/>
      <c r="T40" s="176">
        <v>318.63040000000001</v>
      </c>
      <c r="U40" s="67">
        <v>2244.0100000000002</v>
      </c>
      <c r="V40" s="67">
        <f t="shared" si="10"/>
        <v>2562.6404000000002</v>
      </c>
      <c r="W40" s="164">
        <f t="shared" si="31"/>
        <v>7965.76</v>
      </c>
      <c r="X40" s="27"/>
      <c r="Y40" s="33">
        <f t="shared" si="12"/>
        <v>10528.4004</v>
      </c>
      <c r="Z40" s="34">
        <f t="shared" si="32"/>
        <v>315.852012</v>
      </c>
      <c r="AA40" s="16">
        <f t="shared" si="33"/>
        <v>10844.252412</v>
      </c>
      <c r="AB40" s="34">
        <f t="shared" si="28"/>
        <v>1735.08038592</v>
      </c>
      <c r="AC40" s="34">
        <f t="shared" si="30"/>
        <v>12579.33279792</v>
      </c>
      <c r="AD40" s="11" t="s">
        <v>87</v>
      </c>
    </row>
    <row r="41" spans="1:32" ht="17.45" customHeight="1">
      <c r="A41" s="70"/>
      <c r="B41" s="289" t="s">
        <v>93</v>
      </c>
      <c r="C41" s="47" t="s">
        <v>94</v>
      </c>
      <c r="D41" s="47" t="s">
        <v>78</v>
      </c>
      <c r="E41" s="28"/>
      <c r="F41" s="60">
        <v>278.8</v>
      </c>
      <c r="G41" s="29">
        <v>15</v>
      </c>
      <c r="H41" s="32">
        <f>F41*G41</f>
        <v>4182</v>
      </c>
      <c r="I41" s="32"/>
      <c r="J41" s="32"/>
      <c r="K41" s="48"/>
      <c r="L41" s="31">
        <f t="shared" si="26"/>
        <v>4182</v>
      </c>
      <c r="M41" s="171">
        <v>0</v>
      </c>
      <c r="N41" s="171">
        <v>0</v>
      </c>
      <c r="O41" s="28">
        <v>0</v>
      </c>
      <c r="P41" s="171">
        <v>0</v>
      </c>
      <c r="Q41" s="30">
        <f t="shared" si="29"/>
        <v>0</v>
      </c>
      <c r="R41" s="294">
        <f t="shared" ref="R41:R42" si="34">+L41-Q41</f>
        <v>4182</v>
      </c>
      <c r="S41" s="27"/>
      <c r="T41" s="176">
        <v>167.28</v>
      </c>
      <c r="U41" s="67">
        <v>1298.32</v>
      </c>
      <c r="V41" s="67">
        <f>+U41+T41</f>
        <v>1465.6</v>
      </c>
      <c r="W41" s="164">
        <f>+L41</f>
        <v>4182</v>
      </c>
      <c r="X41" s="27"/>
      <c r="Y41" s="33">
        <f t="shared" ref="Y41" si="35">+W41+V41</f>
        <v>5647.6</v>
      </c>
      <c r="Z41" s="34">
        <f t="shared" si="32"/>
        <v>169.428</v>
      </c>
      <c r="AA41" s="16">
        <f t="shared" si="33"/>
        <v>5817.0280000000002</v>
      </c>
      <c r="AB41" s="34">
        <f t="shared" si="28"/>
        <v>930.72448000000009</v>
      </c>
      <c r="AC41" s="34">
        <f t="shared" si="30"/>
        <v>6747.7524800000001</v>
      </c>
      <c r="AD41" s="11" t="s">
        <v>87</v>
      </c>
    </row>
    <row r="42" spans="1:32" ht="17.45" customHeight="1">
      <c r="A42" s="70"/>
      <c r="B42" s="289" t="s">
        <v>95</v>
      </c>
      <c r="C42" s="47" t="s">
        <v>91</v>
      </c>
      <c r="D42" s="47" t="s">
        <v>96</v>
      </c>
      <c r="E42" s="28">
        <f>F42*30</f>
        <v>8460</v>
      </c>
      <c r="F42" s="60">
        <v>282</v>
      </c>
      <c r="G42" s="29">
        <v>5</v>
      </c>
      <c r="H42" s="32">
        <f t="shared" ref="H42" si="36">F42*G42</f>
        <v>1410</v>
      </c>
      <c r="I42" s="32"/>
      <c r="J42" s="32"/>
      <c r="K42" s="48"/>
      <c r="L42" s="31">
        <f t="shared" si="26"/>
        <v>1410</v>
      </c>
      <c r="M42" s="171">
        <v>0</v>
      </c>
      <c r="N42" s="171">
        <v>35.14</v>
      </c>
      <c r="O42" s="28">
        <v>0</v>
      </c>
      <c r="P42" s="171">
        <v>0</v>
      </c>
      <c r="Q42" s="30">
        <v>0</v>
      </c>
      <c r="R42" s="294">
        <f t="shared" si="34"/>
        <v>1410</v>
      </c>
      <c r="S42" s="27"/>
      <c r="T42" s="176">
        <v>56.4</v>
      </c>
      <c r="U42" s="67">
        <v>403.09</v>
      </c>
      <c r="V42" s="67">
        <f t="shared" ref="V42" si="37">+U42+T42</f>
        <v>459.48999999999995</v>
      </c>
      <c r="W42" s="164">
        <f t="shared" si="31"/>
        <v>1410</v>
      </c>
      <c r="X42" s="27"/>
      <c r="Y42" s="33">
        <f t="shared" ref="Y42" si="38">+W42+V42</f>
        <v>1869.49</v>
      </c>
      <c r="Z42" s="34">
        <f t="shared" si="32"/>
        <v>56.084699999999998</v>
      </c>
      <c r="AA42" s="16">
        <f t="shared" si="33"/>
        <v>1925.5747000000001</v>
      </c>
      <c r="AB42" s="34">
        <f t="shared" si="28"/>
        <v>308.09195200000005</v>
      </c>
      <c r="AC42" s="34">
        <f t="shared" si="30"/>
        <v>2233.6666520000003</v>
      </c>
      <c r="AD42" s="11" t="s">
        <v>87</v>
      </c>
    </row>
    <row r="43" spans="1:32">
      <c r="A43" s="17"/>
      <c r="C43" s="149"/>
      <c r="D43" s="149"/>
      <c r="E43" s="288">
        <f t="shared" ref="E43:AC43" si="39">SUM(E16:E42)</f>
        <v>523864.39999999991</v>
      </c>
      <c r="F43" s="288">
        <f t="shared" si="39"/>
        <v>16367.860000000002</v>
      </c>
      <c r="G43" s="288">
        <f t="shared" si="39"/>
        <v>420</v>
      </c>
      <c r="H43" s="288">
        <f t="shared" si="39"/>
        <v>258504.96000000005</v>
      </c>
      <c r="I43" s="288">
        <f t="shared" si="39"/>
        <v>0</v>
      </c>
      <c r="J43" s="288">
        <f t="shared" si="39"/>
        <v>0</v>
      </c>
      <c r="K43" s="288">
        <f t="shared" si="39"/>
        <v>0</v>
      </c>
      <c r="L43" s="288">
        <f t="shared" si="39"/>
        <v>258504.96000000005</v>
      </c>
      <c r="M43" s="288">
        <f t="shared" si="39"/>
        <v>33813.939999999981</v>
      </c>
      <c r="N43" s="288">
        <f t="shared" si="39"/>
        <v>6878.3100000000031</v>
      </c>
      <c r="O43" s="288">
        <f t="shared" si="39"/>
        <v>7700</v>
      </c>
      <c r="P43" s="288">
        <f t="shared" si="39"/>
        <v>18378.36</v>
      </c>
      <c r="Q43" s="288">
        <f t="shared" si="39"/>
        <v>66735.47</v>
      </c>
      <c r="R43" s="288">
        <f t="shared" si="39"/>
        <v>191769.48999999996</v>
      </c>
      <c r="S43" s="288">
        <f t="shared" si="39"/>
        <v>-4784.5199999999995</v>
      </c>
      <c r="T43" s="288">
        <f t="shared" si="39"/>
        <v>10340.198400000001</v>
      </c>
      <c r="U43" s="288">
        <f t="shared" si="39"/>
        <v>70363.98000000001</v>
      </c>
      <c r="V43" s="288">
        <f t="shared" si="39"/>
        <v>80704.178400000048</v>
      </c>
      <c r="W43" s="288">
        <f t="shared" si="39"/>
        <v>258504.96000000005</v>
      </c>
      <c r="X43" s="288">
        <f t="shared" si="39"/>
        <v>0</v>
      </c>
      <c r="Y43" s="288">
        <f t="shared" si="39"/>
        <v>339209.13840000011</v>
      </c>
      <c r="Z43" s="288">
        <f t="shared" si="39"/>
        <v>10176.274152</v>
      </c>
      <c r="AA43" s="288">
        <f t="shared" si="39"/>
        <v>349385.41255199997</v>
      </c>
      <c r="AB43" s="288">
        <f t="shared" si="39"/>
        <v>55901.666008320019</v>
      </c>
      <c r="AC43" s="288">
        <f t="shared" si="39"/>
        <v>405287.07856031996</v>
      </c>
      <c r="AD43" s="288">
        <f>SUM(AD16:AD41)</f>
        <v>0</v>
      </c>
      <c r="AE43" s="9"/>
    </row>
    <row r="44" spans="1:32">
      <c r="E44" s="11"/>
      <c r="F44" s="11"/>
      <c r="G44" s="11"/>
      <c r="H44" s="9"/>
      <c r="I44" s="9"/>
      <c r="J44" s="9"/>
      <c r="K44" s="9"/>
      <c r="L44" s="9"/>
      <c r="M44" s="9"/>
      <c r="N44" s="9"/>
      <c r="O44" s="9"/>
      <c r="P44" s="9"/>
      <c r="Q44" s="9"/>
      <c r="R44" s="175"/>
      <c r="S44" s="9"/>
      <c r="T44" s="175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</row>
    <row r="45" spans="1:32">
      <c r="E45" s="11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R45" s="175"/>
      <c r="S45" s="9" t="e">
        <f>+S43-#REF!</f>
        <v>#REF!</v>
      </c>
      <c r="T45" s="175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</row>
    <row r="46" spans="1:32" ht="13.9">
      <c r="B46" s="135" t="s">
        <v>97</v>
      </c>
      <c r="E46" s="11"/>
      <c r="F46" s="83"/>
      <c r="G46" s="11"/>
      <c r="H46" s="11"/>
      <c r="I46" s="11"/>
      <c r="J46" s="11"/>
      <c r="K46" s="11"/>
      <c r="L46" s="9"/>
      <c r="M46" s="9"/>
      <c r="N46" s="9"/>
      <c r="O46" s="11"/>
      <c r="P46" s="119"/>
      <c r="Q46" s="9"/>
      <c r="S46" s="11"/>
      <c r="T46" s="9"/>
      <c r="U46" s="292"/>
      <c r="V46" s="11"/>
      <c r="W46" s="11"/>
      <c r="X46" s="11"/>
      <c r="AC46" s="9"/>
    </row>
    <row r="47" spans="1:32">
      <c r="B47" s="85" t="s">
        <v>98</v>
      </c>
      <c r="E47" s="11"/>
      <c r="F47" s="11"/>
      <c r="G47" s="88"/>
      <c r="H47" s="11"/>
      <c r="I47" s="9"/>
      <c r="J47" s="11"/>
      <c r="K47" s="11"/>
      <c r="L47" s="11"/>
      <c r="M47" s="9"/>
      <c r="N47" s="9"/>
      <c r="O47" s="11"/>
      <c r="P47" s="171"/>
      <c r="Q47" s="9"/>
      <c r="R47" s="175"/>
      <c r="S47" s="11"/>
      <c r="T47" s="175"/>
      <c r="U47" s="9"/>
      <c r="V47" s="9"/>
      <c r="W47" s="11"/>
      <c r="X47" s="11"/>
      <c r="AB47" s="11" t="s">
        <v>99</v>
      </c>
      <c r="AC47" s="9"/>
    </row>
    <row r="48" spans="1:32" ht="13.5" customHeight="1">
      <c r="B48" s="87"/>
      <c r="E48" s="11"/>
      <c r="F48" s="11"/>
      <c r="G48" s="11"/>
      <c r="H48" s="11"/>
      <c r="I48" s="11"/>
      <c r="J48" s="11"/>
      <c r="K48" s="83"/>
      <c r="L48" s="9"/>
      <c r="M48" s="9"/>
      <c r="N48" s="9"/>
      <c r="O48" s="9"/>
      <c r="P48" s="9"/>
      <c r="Q48" s="9"/>
      <c r="R48" s="175"/>
      <c r="S48" s="11"/>
      <c r="T48" s="175"/>
      <c r="U48" s="11"/>
      <c r="V48" s="62"/>
      <c r="W48" s="11"/>
      <c r="X48" s="11"/>
      <c r="AB48" s="110" t="s">
        <v>100</v>
      </c>
      <c r="AC48" s="110">
        <f>+AC43+AC47</f>
        <v>405287.07856031996</v>
      </c>
      <c r="AD48" s="62"/>
      <c r="AF48" s="62"/>
    </row>
    <row r="49" spans="2:32">
      <c r="B49" s="87"/>
      <c r="E49" s="11"/>
      <c r="F49" s="83"/>
      <c r="G49" s="11"/>
      <c r="H49" s="11"/>
      <c r="I49" s="11"/>
      <c r="J49" s="11"/>
      <c r="K49" s="11"/>
      <c r="L49" s="9"/>
      <c r="M49" s="11"/>
      <c r="N49" s="11"/>
      <c r="O49" s="11"/>
      <c r="P49" s="11"/>
      <c r="Q49" s="9"/>
      <c r="R49" s="175"/>
      <c r="S49" s="11"/>
      <c r="T49" s="175"/>
      <c r="U49" s="11"/>
      <c r="V49" s="62"/>
      <c r="W49" s="11"/>
      <c r="X49" s="11"/>
      <c r="AB49" s="9"/>
      <c r="AC49" s="9"/>
      <c r="AF49" s="62"/>
    </row>
    <row r="50" spans="2:32"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9"/>
      <c r="R50" s="175"/>
      <c r="S50" s="11"/>
      <c r="T50" s="175"/>
      <c r="U50" s="11"/>
      <c r="V50" s="11"/>
      <c r="W50" s="11"/>
      <c r="X50" s="11"/>
      <c r="AB50" s="11" t="s">
        <v>32</v>
      </c>
      <c r="AC50" s="9">
        <f>SUM(AC16:AC37)</f>
        <v>361650.39366767998</v>
      </c>
    </row>
    <row r="51" spans="2:32" ht="13.9">
      <c r="E51" s="11"/>
      <c r="F51" s="11"/>
      <c r="G51" s="346"/>
      <c r="H51" s="11"/>
      <c r="I51" s="11"/>
      <c r="J51" s="11"/>
      <c r="K51" s="11"/>
      <c r="L51" s="11"/>
      <c r="M51" s="11"/>
      <c r="N51" s="11"/>
      <c r="O51" s="11"/>
      <c r="P51" s="62"/>
      <c r="Q51" s="9"/>
      <c r="R51" s="175"/>
      <c r="S51" s="11"/>
      <c r="T51" s="175"/>
      <c r="U51" s="11"/>
      <c r="V51" s="11"/>
      <c r="W51" s="11"/>
      <c r="X51" s="11"/>
      <c r="AB51" s="11" t="s">
        <v>101</v>
      </c>
      <c r="AC51" s="9">
        <f>AC42+AC41+AC40+AC39+AC38</f>
        <v>43636.684892639998</v>
      </c>
    </row>
    <row r="52" spans="2:32">
      <c r="E52" s="11"/>
      <c r="F52" s="11"/>
      <c r="G52" s="11"/>
      <c r="H52" s="11"/>
      <c r="I52" s="9"/>
      <c r="J52" s="11"/>
      <c r="K52" s="11"/>
      <c r="L52" s="11"/>
      <c r="M52" s="11"/>
      <c r="N52" s="11"/>
      <c r="O52" s="11"/>
      <c r="P52" s="11"/>
      <c r="Q52" s="9"/>
      <c r="R52" s="175"/>
      <c r="S52" s="11"/>
      <c r="T52" s="175"/>
      <c r="U52" s="11"/>
      <c r="V52" s="11"/>
      <c r="W52" s="11"/>
      <c r="X52" s="11"/>
      <c r="AB52" s="62"/>
      <c r="AC52" s="62"/>
    </row>
    <row r="53" spans="2:32"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9"/>
      <c r="R53" s="175"/>
      <c r="S53" s="11"/>
      <c r="T53" s="175"/>
      <c r="U53" s="11"/>
      <c r="V53" s="11"/>
      <c r="W53" s="11"/>
      <c r="X53" s="11"/>
      <c r="AB53" s="9"/>
      <c r="AC53" s="9"/>
    </row>
    <row r="54" spans="2:32"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9"/>
      <c r="R54" s="175"/>
      <c r="S54" s="11"/>
      <c r="T54" s="175"/>
      <c r="U54" s="11"/>
      <c r="V54" s="11"/>
      <c r="W54" s="11"/>
      <c r="X54" s="11"/>
    </row>
    <row r="55" spans="2:32">
      <c r="Q55" s="9"/>
      <c r="R55" s="175"/>
      <c r="S55" s="11"/>
      <c r="T55" s="175"/>
      <c r="U55" s="11"/>
      <c r="V55" s="11"/>
      <c r="W55" s="11"/>
      <c r="X55" s="11"/>
    </row>
    <row r="56" spans="2:32">
      <c r="Q56" s="9"/>
      <c r="R56" s="175"/>
      <c r="S56" s="11"/>
      <c r="T56" s="175"/>
      <c r="U56" s="11"/>
      <c r="V56" s="11"/>
      <c r="W56" s="11"/>
      <c r="X56" s="11"/>
      <c r="AC56" s="62"/>
    </row>
    <row r="57" spans="2:32">
      <c r="O57" s="84"/>
      <c r="Q57" s="9"/>
      <c r="R57" s="175"/>
      <c r="S57" s="11"/>
      <c r="T57" s="175"/>
      <c r="U57" s="11"/>
      <c r="V57" s="11"/>
      <c r="W57" s="11"/>
      <c r="X57" s="11"/>
      <c r="AC57" s="62"/>
    </row>
    <row r="58" spans="2:32">
      <c r="Q58" s="9"/>
      <c r="R58" s="175"/>
      <c r="S58" s="11"/>
      <c r="T58" s="175"/>
      <c r="U58" s="11"/>
      <c r="V58" s="11"/>
      <c r="W58" s="11"/>
      <c r="X58" s="11"/>
    </row>
    <row r="59" spans="2:32">
      <c r="Q59" s="9"/>
      <c r="R59" s="175"/>
      <c r="S59" s="11"/>
      <c r="T59" s="175"/>
      <c r="U59" s="11"/>
      <c r="V59" s="11"/>
      <c r="W59" s="11"/>
      <c r="X59" s="11"/>
    </row>
    <row r="60" spans="2:32">
      <c r="Q60" s="9"/>
      <c r="R60" s="175"/>
      <c r="S60" s="11"/>
      <c r="T60" s="175"/>
      <c r="U60" s="11"/>
      <c r="V60" s="11"/>
      <c r="W60" s="11"/>
      <c r="X60" s="11"/>
    </row>
    <row r="61" spans="2:32">
      <c r="Q61" s="9"/>
      <c r="R61" s="175"/>
      <c r="S61" s="11"/>
      <c r="T61" s="175"/>
      <c r="U61" s="11"/>
      <c r="V61" s="11"/>
      <c r="W61" s="11"/>
      <c r="X61" s="11"/>
    </row>
    <row r="62" spans="2:32">
      <c r="Q62" s="9"/>
      <c r="R62" s="175"/>
      <c r="S62" s="11"/>
      <c r="T62" s="175"/>
      <c r="U62" s="11"/>
      <c r="V62" s="11"/>
      <c r="W62" s="11"/>
      <c r="X62" s="11"/>
    </row>
    <row r="63" spans="2:32">
      <c r="Q63" s="9"/>
      <c r="R63" s="175"/>
      <c r="S63" s="11"/>
      <c r="T63" s="175"/>
      <c r="U63" s="11"/>
      <c r="V63" s="11"/>
      <c r="W63" s="11"/>
      <c r="X63" s="11"/>
    </row>
    <row r="64" spans="2:32">
      <c r="Q64" s="9"/>
      <c r="R64" s="175"/>
      <c r="S64" s="11"/>
      <c r="T64" s="175"/>
      <c r="U64" s="11"/>
      <c r="V64" s="11"/>
      <c r="W64" s="11"/>
      <c r="X64" s="11"/>
    </row>
    <row r="65" spans="17:24">
      <c r="Q65" s="9"/>
      <c r="R65" s="175"/>
      <c r="S65" s="11"/>
      <c r="T65" s="175"/>
      <c r="U65" s="11"/>
      <c r="V65" s="11"/>
      <c r="W65" s="11"/>
      <c r="X65" s="11"/>
    </row>
    <row r="66" spans="17:24">
      <c r="Q66" s="9"/>
      <c r="R66" s="175"/>
      <c r="S66" s="11"/>
      <c r="T66" s="175"/>
      <c r="U66" s="11"/>
      <c r="V66" s="11"/>
      <c r="W66" s="11"/>
      <c r="X66" s="11"/>
    </row>
    <row r="67" spans="17:24">
      <c r="Q67" s="9"/>
      <c r="R67" s="175"/>
      <c r="S67" s="11"/>
      <c r="T67" s="175"/>
      <c r="U67" s="11"/>
      <c r="V67" s="11"/>
      <c r="W67" s="11"/>
      <c r="X67" s="11"/>
    </row>
    <row r="68" spans="17:24">
      <c r="Q68" s="9"/>
      <c r="R68" s="175"/>
      <c r="S68" s="11"/>
      <c r="T68" s="175"/>
      <c r="U68" s="11"/>
      <c r="V68" s="11"/>
      <c r="W68" s="11"/>
      <c r="X68" s="11"/>
    </row>
    <row r="69" spans="17:24">
      <c r="Q69" s="9"/>
      <c r="R69" s="175"/>
      <c r="S69" s="11"/>
      <c r="T69" s="175"/>
      <c r="U69" s="11"/>
      <c r="V69" s="11"/>
      <c r="W69" s="11"/>
      <c r="X69" s="11"/>
    </row>
    <row r="70" spans="17:24">
      <c r="R70" s="175"/>
      <c r="S70" s="11"/>
      <c r="T70" s="175"/>
      <c r="U70" s="11"/>
      <c r="V70" s="11"/>
      <c r="W70" s="11"/>
      <c r="X70" s="11"/>
    </row>
    <row r="71" spans="17:24">
      <c r="R71" s="175"/>
      <c r="S71" s="11"/>
      <c r="T71" s="175"/>
      <c r="U71" s="11"/>
      <c r="V71" s="11"/>
      <c r="W71" s="11"/>
      <c r="X71" s="11"/>
    </row>
    <row r="72" spans="17:24">
      <c r="R72" s="175"/>
      <c r="S72" s="11"/>
      <c r="T72" s="175"/>
      <c r="U72" s="11"/>
      <c r="V72" s="11"/>
      <c r="W72" s="11"/>
      <c r="X72" s="11"/>
    </row>
    <row r="73" spans="17:24">
      <c r="R73" s="175"/>
      <c r="S73" s="11"/>
      <c r="T73" s="175"/>
      <c r="U73" s="11"/>
      <c r="V73" s="11"/>
      <c r="W73" s="11"/>
      <c r="X73" s="11"/>
    </row>
    <row r="74" spans="17:24">
      <c r="R74" s="175"/>
      <c r="S74" s="11"/>
      <c r="T74" s="175"/>
      <c r="U74" s="11"/>
      <c r="V74" s="11"/>
      <c r="W74" s="11"/>
      <c r="X74" s="11"/>
    </row>
    <row r="75" spans="17:24">
      <c r="R75" s="175"/>
      <c r="S75" s="11"/>
      <c r="T75" s="175"/>
      <c r="U75" s="11"/>
      <c r="V75" s="11"/>
      <c r="W75" s="11"/>
      <c r="X75" s="11"/>
    </row>
    <row r="76" spans="17:24">
      <c r="R76" s="175"/>
      <c r="S76" s="11"/>
      <c r="T76" s="175"/>
      <c r="U76" s="11"/>
      <c r="V76" s="11"/>
      <c r="W76" s="11"/>
      <c r="X76" s="11"/>
    </row>
    <row r="77" spans="17:24">
      <c r="R77" s="175"/>
      <c r="S77" s="11"/>
      <c r="T77" s="175"/>
      <c r="U77" s="11"/>
      <c r="V77" s="11"/>
      <c r="W77" s="11"/>
      <c r="X77" s="11"/>
    </row>
    <row r="78" spans="17:24">
      <c r="R78" s="175"/>
      <c r="S78" s="11"/>
      <c r="T78" s="175"/>
      <c r="U78" s="11"/>
      <c r="V78" s="11"/>
      <c r="W78" s="11"/>
      <c r="X78" s="11"/>
    </row>
    <row r="79" spans="17:24">
      <c r="R79" s="175"/>
      <c r="S79" s="11"/>
      <c r="T79" s="175"/>
      <c r="U79" s="11"/>
      <c r="V79" s="11"/>
      <c r="W79" s="11"/>
      <c r="X79" s="11"/>
    </row>
    <row r="80" spans="17:24">
      <c r="R80" s="175"/>
      <c r="S80" s="11"/>
      <c r="T80" s="175"/>
      <c r="U80" s="11"/>
      <c r="V80" s="11"/>
      <c r="W80" s="11"/>
      <c r="X80" s="11"/>
    </row>
    <row r="81" spans="18:24">
      <c r="R81" s="175"/>
      <c r="S81" s="11"/>
      <c r="T81" s="175"/>
      <c r="U81" s="11"/>
      <c r="V81" s="11"/>
      <c r="W81" s="11"/>
      <c r="X81" s="11"/>
    </row>
    <row r="82" spans="18:24">
      <c r="R82" s="175"/>
      <c r="S82" s="11"/>
      <c r="T82" s="175"/>
      <c r="U82" s="11"/>
      <c r="V82" s="11"/>
      <c r="W82" s="11"/>
      <c r="X82" s="11"/>
    </row>
    <row r="83" spans="18:24">
      <c r="R83" s="175"/>
      <c r="S83" s="11"/>
      <c r="T83" s="175"/>
      <c r="U83" s="11"/>
      <c r="V83" s="11"/>
      <c r="W83" s="11"/>
      <c r="X83" s="11"/>
    </row>
    <row r="84" spans="18:24">
      <c r="R84" s="175"/>
      <c r="S84" s="11"/>
      <c r="T84" s="175"/>
      <c r="U84" s="11"/>
      <c r="V84" s="11"/>
      <c r="W84" s="11"/>
      <c r="X84" s="11"/>
    </row>
    <row r="85" spans="18:24">
      <c r="R85" s="175"/>
      <c r="S85" s="11"/>
      <c r="T85" s="175"/>
      <c r="U85" s="11"/>
      <c r="V85" s="11"/>
      <c r="W85" s="11"/>
      <c r="X85" s="11"/>
    </row>
    <row r="86" spans="18:24">
      <c r="R86" s="175"/>
      <c r="S86" s="11"/>
      <c r="T86" s="175"/>
      <c r="U86" s="11"/>
      <c r="V86" s="11"/>
      <c r="W86" s="11"/>
      <c r="X86" s="11"/>
    </row>
    <row r="87" spans="18:24">
      <c r="R87" s="175"/>
      <c r="S87" s="11"/>
      <c r="T87" s="175"/>
      <c r="U87" s="11"/>
      <c r="V87" s="11"/>
      <c r="W87" s="11"/>
      <c r="X87" s="11"/>
    </row>
    <row r="88" spans="18:24">
      <c r="R88" s="175"/>
      <c r="S88" s="11"/>
      <c r="T88" s="175"/>
      <c r="U88" s="11"/>
      <c r="V88" s="11"/>
      <c r="W88" s="11"/>
      <c r="X88" s="11"/>
    </row>
    <row r="89" spans="18:24">
      <c r="R89" s="175"/>
      <c r="S89" s="11"/>
      <c r="T89" s="175"/>
      <c r="U89" s="11"/>
      <c r="V89" s="11"/>
      <c r="W89" s="11"/>
      <c r="X89" s="11"/>
    </row>
    <row r="90" spans="18:24">
      <c r="R90" s="175"/>
      <c r="S90" s="11"/>
      <c r="T90" s="175"/>
      <c r="U90" s="11"/>
      <c r="V90" s="11"/>
      <c r="W90" s="11"/>
      <c r="X90" s="11"/>
    </row>
    <row r="91" spans="18:24">
      <c r="R91" s="175"/>
      <c r="S91" s="11"/>
      <c r="T91" s="175"/>
      <c r="U91" s="11"/>
      <c r="V91" s="11"/>
      <c r="W91" s="11"/>
      <c r="X91" s="11"/>
    </row>
    <row r="92" spans="18:24">
      <c r="R92" s="175"/>
      <c r="S92" s="11"/>
      <c r="T92" s="175"/>
      <c r="U92" s="11"/>
      <c r="V92" s="11"/>
      <c r="W92" s="11"/>
      <c r="X92" s="11"/>
    </row>
    <row r="93" spans="18:24">
      <c r="R93" s="175"/>
      <c r="S93" s="11"/>
      <c r="T93" s="175"/>
      <c r="U93" s="11"/>
      <c r="V93" s="11"/>
      <c r="W93" s="11"/>
      <c r="X93" s="11"/>
    </row>
    <row r="94" spans="18:24">
      <c r="R94" s="175"/>
      <c r="S94" s="11"/>
      <c r="T94" s="175"/>
      <c r="U94" s="11"/>
      <c r="V94" s="11"/>
      <c r="W94" s="11"/>
      <c r="X94" s="11"/>
    </row>
    <row r="95" spans="18:24">
      <c r="R95" s="175"/>
      <c r="S95" s="11"/>
      <c r="T95" s="175"/>
      <c r="U95" s="11"/>
      <c r="V95" s="11"/>
      <c r="W95" s="11"/>
      <c r="X95" s="11"/>
    </row>
    <row r="96" spans="18:24">
      <c r="R96" s="175"/>
      <c r="S96" s="11"/>
      <c r="T96" s="175"/>
      <c r="U96" s="11"/>
      <c r="V96" s="11"/>
      <c r="W96" s="11"/>
      <c r="X96" s="11"/>
    </row>
    <row r="97" spans="18:24">
      <c r="R97" s="175"/>
      <c r="S97" s="11"/>
      <c r="T97" s="175"/>
      <c r="U97" s="11"/>
      <c r="V97" s="11"/>
      <c r="W97" s="11"/>
      <c r="X97" s="11"/>
    </row>
    <row r="98" spans="18:24">
      <c r="R98" s="175"/>
      <c r="S98" s="11"/>
      <c r="T98" s="175"/>
      <c r="U98" s="11"/>
      <c r="V98" s="11"/>
      <c r="W98" s="11"/>
      <c r="X98" s="11"/>
    </row>
    <row r="99" spans="18:24">
      <c r="R99" s="175"/>
      <c r="S99" s="11"/>
      <c r="T99" s="175"/>
      <c r="U99" s="11"/>
      <c r="V99" s="11"/>
      <c r="W99" s="11"/>
      <c r="X99" s="11"/>
    </row>
    <row r="100" spans="18:24">
      <c r="R100" s="175"/>
      <c r="S100" s="11"/>
      <c r="T100" s="175"/>
      <c r="U100" s="11"/>
      <c r="V100" s="11"/>
      <c r="W100" s="11"/>
      <c r="X100" s="11"/>
    </row>
    <row r="101" spans="18:24">
      <c r="R101" s="175"/>
      <c r="S101" s="11"/>
      <c r="T101" s="175"/>
      <c r="U101" s="11"/>
      <c r="V101" s="11"/>
      <c r="W101" s="11"/>
      <c r="X101" s="11"/>
    </row>
    <row r="102" spans="18:24">
      <c r="R102" s="175"/>
      <c r="S102" s="11"/>
      <c r="T102" s="175"/>
      <c r="U102" s="11"/>
      <c r="V102" s="11"/>
      <c r="W102" s="11"/>
      <c r="X102" s="11"/>
    </row>
    <row r="103" spans="18:24">
      <c r="R103" s="175"/>
      <c r="S103" s="11"/>
      <c r="T103" s="175"/>
      <c r="U103" s="11"/>
      <c r="V103" s="11"/>
      <c r="W103" s="11"/>
      <c r="X103" s="11"/>
    </row>
    <row r="104" spans="18:24">
      <c r="R104" s="175"/>
      <c r="S104" s="11"/>
      <c r="T104" s="175"/>
      <c r="U104" s="11"/>
      <c r="V104" s="11"/>
      <c r="W104" s="11"/>
      <c r="X104" s="11"/>
    </row>
    <row r="105" spans="18:24">
      <c r="R105" s="175"/>
      <c r="S105" s="11"/>
      <c r="T105" s="175"/>
      <c r="U105" s="11"/>
      <c r="V105" s="11"/>
      <c r="W105" s="11"/>
      <c r="X105" s="11"/>
    </row>
    <row r="106" spans="18:24">
      <c r="R106" s="175"/>
      <c r="S106" s="11"/>
      <c r="T106" s="175"/>
      <c r="U106" s="11"/>
      <c r="V106" s="11"/>
      <c r="W106" s="11"/>
      <c r="X106" s="11"/>
    </row>
    <row r="107" spans="18:24">
      <c r="R107" s="175"/>
      <c r="S107" s="11"/>
      <c r="T107" s="175"/>
      <c r="U107" s="11"/>
      <c r="V107" s="11"/>
      <c r="W107" s="11"/>
      <c r="X107" s="11"/>
    </row>
    <row r="108" spans="18:24">
      <c r="R108" s="175"/>
      <c r="S108" s="11"/>
      <c r="T108" s="175"/>
      <c r="U108" s="11"/>
      <c r="V108" s="11"/>
      <c r="W108" s="11"/>
      <c r="X108" s="11"/>
    </row>
    <row r="109" spans="18:24">
      <c r="R109" s="175"/>
      <c r="S109" s="11"/>
      <c r="T109" s="175"/>
      <c r="U109" s="11"/>
      <c r="V109" s="11"/>
      <c r="W109" s="11"/>
      <c r="X109" s="11"/>
    </row>
    <row r="110" spans="18:24">
      <c r="R110" s="175"/>
      <c r="S110" s="11"/>
      <c r="T110" s="175"/>
      <c r="U110" s="11"/>
      <c r="V110" s="11"/>
      <c r="W110" s="11"/>
      <c r="X110" s="11"/>
    </row>
    <row r="111" spans="18:24">
      <c r="R111" s="175"/>
      <c r="S111" s="11"/>
      <c r="T111" s="175"/>
      <c r="U111" s="11"/>
      <c r="V111" s="11"/>
      <c r="W111" s="11"/>
      <c r="X111" s="11"/>
    </row>
    <row r="112" spans="18:24">
      <c r="R112" s="175"/>
      <c r="S112" s="11"/>
      <c r="T112" s="175"/>
      <c r="U112" s="11"/>
      <c r="V112" s="11"/>
      <c r="W112" s="11"/>
      <c r="X112" s="11"/>
    </row>
    <row r="113" spans="18:24">
      <c r="R113" s="175"/>
      <c r="S113" s="11"/>
      <c r="T113" s="175"/>
      <c r="U113" s="11"/>
      <c r="V113" s="11"/>
      <c r="W113" s="11"/>
      <c r="X113" s="11"/>
    </row>
    <row r="114" spans="18:24">
      <c r="R114" s="175"/>
      <c r="S114" s="11"/>
      <c r="T114" s="175"/>
      <c r="U114" s="11"/>
      <c r="V114" s="11"/>
      <c r="W114" s="11"/>
      <c r="X114" s="11"/>
    </row>
    <row r="115" spans="18:24">
      <c r="R115" s="175"/>
      <c r="S115" s="11"/>
      <c r="T115" s="175"/>
      <c r="U115" s="11"/>
      <c r="V115" s="11"/>
      <c r="W115" s="11"/>
      <c r="X115" s="11"/>
    </row>
    <row r="116" spans="18:24">
      <c r="R116" s="175"/>
      <c r="S116" s="11"/>
      <c r="T116" s="175"/>
      <c r="U116" s="11"/>
      <c r="V116" s="11"/>
      <c r="W116" s="11"/>
      <c r="X116" s="11"/>
    </row>
    <row r="117" spans="18:24">
      <c r="R117" s="175"/>
      <c r="S117" s="11"/>
      <c r="T117" s="175"/>
      <c r="U117" s="11"/>
      <c r="V117" s="11"/>
      <c r="W117" s="11"/>
      <c r="X117" s="11"/>
    </row>
    <row r="118" spans="18:24">
      <c r="R118" s="175"/>
      <c r="S118" s="11"/>
      <c r="T118" s="175"/>
      <c r="U118" s="11"/>
      <c r="V118" s="11"/>
      <c r="W118" s="11"/>
      <c r="X118" s="11"/>
    </row>
    <row r="119" spans="18:24">
      <c r="R119" s="175"/>
      <c r="S119" s="11"/>
      <c r="T119" s="175"/>
      <c r="U119" s="11"/>
      <c r="V119" s="11"/>
      <c r="W119" s="11"/>
      <c r="X119" s="11"/>
    </row>
    <row r="120" spans="18:24">
      <c r="R120" s="175"/>
      <c r="S120" s="11"/>
      <c r="T120" s="175"/>
      <c r="U120" s="11"/>
      <c r="V120" s="11"/>
      <c r="W120" s="11"/>
      <c r="X120" s="11"/>
    </row>
    <row r="121" spans="18:24">
      <c r="R121" s="175"/>
      <c r="S121" s="11"/>
      <c r="T121" s="175"/>
      <c r="U121" s="11"/>
      <c r="V121" s="11"/>
      <c r="W121" s="11"/>
      <c r="X121" s="11"/>
    </row>
    <row r="122" spans="18:24">
      <c r="R122" s="175"/>
      <c r="S122" s="11"/>
      <c r="T122" s="175"/>
      <c r="U122" s="11"/>
      <c r="V122" s="11"/>
      <c r="W122" s="11"/>
      <c r="X122" s="11"/>
    </row>
    <row r="123" spans="18:24">
      <c r="R123" s="175"/>
      <c r="S123" s="11"/>
      <c r="T123" s="175"/>
      <c r="U123" s="11"/>
      <c r="V123" s="11"/>
      <c r="W123" s="11"/>
      <c r="X123" s="11"/>
    </row>
    <row r="124" spans="18:24">
      <c r="R124" s="175"/>
      <c r="S124" s="11"/>
      <c r="T124" s="175"/>
      <c r="U124" s="11"/>
      <c r="V124" s="11"/>
      <c r="W124" s="11"/>
      <c r="X124" s="11"/>
    </row>
    <row r="125" spans="18:24">
      <c r="R125" s="175"/>
      <c r="S125" s="11"/>
      <c r="T125" s="175"/>
      <c r="U125" s="11"/>
      <c r="V125" s="11"/>
      <c r="W125" s="11"/>
      <c r="X125" s="11"/>
    </row>
    <row r="126" spans="18:24">
      <c r="R126" s="175"/>
      <c r="S126" s="11"/>
      <c r="T126" s="175"/>
      <c r="U126" s="11"/>
      <c r="V126" s="11"/>
      <c r="W126" s="11"/>
      <c r="X126" s="11"/>
    </row>
    <row r="127" spans="18:24">
      <c r="R127" s="175"/>
      <c r="S127" s="11"/>
      <c r="T127" s="175"/>
      <c r="U127" s="11"/>
      <c r="V127" s="11"/>
      <c r="W127" s="11"/>
      <c r="X127" s="11"/>
    </row>
    <row r="128" spans="18:24">
      <c r="R128" s="175"/>
      <c r="S128" s="11"/>
      <c r="T128" s="175"/>
      <c r="U128" s="11"/>
      <c r="V128" s="11"/>
      <c r="W128" s="11"/>
      <c r="X128" s="11"/>
    </row>
    <row r="129" spans="18:24">
      <c r="R129" s="175"/>
      <c r="S129" s="11"/>
      <c r="T129" s="175"/>
      <c r="U129" s="11"/>
      <c r="V129" s="11"/>
      <c r="W129" s="11"/>
      <c r="X129" s="11"/>
    </row>
    <row r="130" spans="18:24">
      <c r="R130" s="175"/>
      <c r="S130" s="11"/>
      <c r="T130" s="175"/>
      <c r="U130" s="11"/>
      <c r="V130" s="11"/>
      <c r="W130" s="11"/>
      <c r="X130" s="11"/>
    </row>
    <row r="131" spans="18:24">
      <c r="R131" s="175"/>
      <c r="S131" s="11"/>
      <c r="T131" s="175"/>
      <c r="U131" s="11"/>
      <c r="V131" s="11"/>
      <c r="W131" s="11"/>
      <c r="X131" s="11"/>
    </row>
    <row r="132" spans="18:24">
      <c r="R132" s="175"/>
      <c r="S132" s="11"/>
      <c r="T132" s="175"/>
      <c r="U132" s="11"/>
      <c r="V132" s="11"/>
      <c r="W132" s="11"/>
      <c r="X132" s="11"/>
    </row>
    <row r="133" spans="18:24">
      <c r="R133" s="175"/>
      <c r="S133" s="11"/>
      <c r="T133" s="175"/>
      <c r="U133" s="11"/>
      <c r="V133" s="11"/>
      <c r="W133" s="11"/>
      <c r="X133" s="11"/>
    </row>
    <row r="134" spans="18:24">
      <c r="R134" s="175"/>
      <c r="S134" s="11"/>
      <c r="T134" s="175"/>
      <c r="U134" s="11"/>
      <c r="V134" s="11"/>
      <c r="W134" s="11"/>
      <c r="X134" s="11"/>
    </row>
    <row r="135" spans="18:24">
      <c r="R135" s="175"/>
      <c r="S135" s="11"/>
      <c r="T135" s="175"/>
      <c r="U135" s="11"/>
      <c r="V135" s="11"/>
      <c r="W135" s="11"/>
      <c r="X135" s="11"/>
    </row>
    <row r="136" spans="18:24">
      <c r="R136" s="175"/>
      <c r="S136" s="11"/>
      <c r="T136" s="175"/>
      <c r="U136" s="11"/>
      <c r="V136" s="11"/>
      <c r="W136" s="11"/>
      <c r="X136" s="11"/>
    </row>
    <row r="137" spans="18:24">
      <c r="R137" s="175"/>
      <c r="S137" s="11"/>
      <c r="T137" s="175"/>
      <c r="U137" s="11"/>
      <c r="V137" s="11"/>
      <c r="W137" s="11"/>
      <c r="X137" s="11"/>
    </row>
    <row r="138" spans="18:24">
      <c r="R138" s="175"/>
      <c r="S138" s="11"/>
      <c r="T138" s="175"/>
      <c r="U138" s="11"/>
      <c r="V138" s="11"/>
      <c r="W138" s="11"/>
      <c r="X138" s="11"/>
    </row>
    <row r="139" spans="18:24">
      <c r="R139" s="175"/>
      <c r="S139" s="11"/>
      <c r="T139" s="175"/>
      <c r="U139" s="11"/>
      <c r="V139" s="11"/>
      <c r="W139" s="11"/>
      <c r="X139" s="11"/>
    </row>
    <row r="140" spans="18:24">
      <c r="R140" s="175"/>
      <c r="S140" s="11"/>
      <c r="T140" s="175"/>
      <c r="U140" s="11"/>
      <c r="V140" s="11"/>
      <c r="W140" s="11"/>
      <c r="X140" s="11"/>
    </row>
    <row r="141" spans="18:24">
      <c r="R141" s="175"/>
      <c r="S141" s="11"/>
      <c r="T141" s="175"/>
      <c r="U141" s="11"/>
      <c r="V141" s="11"/>
      <c r="W141" s="11"/>
      <c r="X141" s="11"/>
    </row>
    <row r="142" spans="18:24">
      <c r="R142" s="175"/>
      <c r="S142" s="11"/>
      <c r="T142" s="175"/>
      <c r="U142" s="11"/>
      <c r="V142" s="11"/>
      <c r="W142" s="11"/>
      <c r="X142" s="11"/>
    </row>
    <row r="143" spans="18:24">
      <c r="R143" s="175"/>
      <c r="S143" s="11"/>
      <c r="T143" s="175"/>
      <c r="U143" s="11"/>
      <c r="V143" s="11"/>
      <c r="W143" s="11"/>
      <c r="X143" s="11"/>
    </row>
    <row r="144" spans="18:24">
      <c r="R144" s="175"/>
      <c r="S144" s="11"/>
      <c r="T144" s="175"/>
      <c r="U144" s="11"/>
      <c r="V144" s="11"/>
      <c r="W144" s="11"/>
      <c r="X144" s="11"/>
    </row>
    <row r="145" spans="18:24">
      <c r="R145" s="175"/>
      <c r="S145" s="11"/>
      <c r="T145" s="175"/>
      <c r="U145" s="11"/>
      <c r="V145" s="11"/>
      <c r="W145" s="11"/>
      <c r="X145" s="11"/>
    </row>
    <row r="146" spans="18:24">
      <c r="R146" s="175"/>
      <c r="S146" s="11"/>
      <c r="T146" s="175"/>
      <c r="U146" s="11"/>
      <c r="V146" s="11"/>
      <c r="W146" s="11"/>
      <c r="X146" s="11"/>
    </row>
    <row r="147" spans="18:24">
      <c r="R147" s="175"/>
      <c r="S147" s="11"/>
      <c r="T147" s="175"/>
      <c r="U147" s="11"/>
      <c r="V147" s="11"/>
      <c r="W147" s="11"/>
      <c r="X147" s="11"/>
    </row>
    <row r="148" spans="18:24">
      <c r="R148" s="175"/>
      <c r="S148" s="11"/>
      <c r="T148" s="175"/>
      <c r="U148" s="11"/>
      <c r="V148" s="11"/>
      <c r="W148" s="11"/>
      <c r="X148" s="11"/>
    </row>
    <row r="149" spans="18:24">
      <c r="R149" s="175"/>
      <c r="S149" s="11"/>
      <c r="T149" s="175"/>
      <c r="U149" s="11"/>
      <c r="V149" s="11"/>
      <c r="W149" s="11"/>
      <c r="X149" s="11"/>
    </row>
    <row r="150" spans="18:24">
      <c r="R150" s="175"/>
      <c r="S150" s="11"/>
      <c r="T150" s="175"/>
      <c r="U150" s="11"/>
      <c r="V150" s="11"/>
      <c r="W150" s="11"/>
      <c r="X150" s="11"/>
    </row>
    <row r="151" spans="18:24">
      <c r="R151" s="175"/>
      <c r="S151" s="11"/>
      <c r="T151" s="175"/>
      <c r="U151" s="11"/>
      <c r="V151" s="11"/>
      <c r="W151" s="11"/>
      <c r="X151" s="11"/>
    </row>
    <row r="152" spans="18:24">
      <c r="R152" s="175"/>
      <c r="S152" s="11"/>
      <c r="T152" s="175"/>
      <c r="U152" s="11"/>
      <c r="V152" s="11"/>
      <c r="W152" s="11"/>
      <c r="X152" s="11"/>
    </row>
    <row r="153" spans="18:24">
      <c r="R153" s="175"/>
      <c r="S153" s="11"/>
      <c r="T153" s="175"/>
      <c r="U153" s="11"/>
      <c r="V153" s="11"/>
      <c r="W153" s="11"/>
      <c r="X153" s="11"/>
    </row>
    <row r="154" spans="18:24">
      <c r="R154" s="175"/>
      <c r="S154" s="11"/>
      <c r="T154" s="175"/>
      <c r="U154" s="11"/>
      <c r="V154" s="11"/>
      <c r="W154" s="11"/>
      <c r="X154" s="11"/>
    </row>
    <row r="155" spans="18:24">
      <c r="R155" s="175"/>
      <c r="S155" s="11"/>
      <c r="T155" s="175"/>
      <c r="U155" s="11"/>
      <c r="V155" s="11"/>
      <c r="W155" s="11"/>
      <c r="X155" s="11"/>
    </row>
    <row r="156" spans="18:24">
      <c r="R156" s="175"/>
      <c r="S156" s="11"/>
      <c r="T156" s="175"/>
      <c r="U156" s="11"/>
      <c r="V156" s="11"/>
      <c r="W156" s="11"/>
      <c r="X156" s="11"/>
    </row>
    <row r="157" spans="18:24">
      <c r="R157" s="175"/>
      <c r="S157" s="11"/>
      <c r="T157" s="175"/>
      <c r="U157" s="11"/>
      <c r="V157" s="11"/>
      <c r="W157" s="11"/>
      <c r="X157" s="11"/>
    </row>
    <row r="158" spans="18:24">
      <c r="R158" s="175"/>
      <c r="S158" s="11"/>
      <c r="T158" s="175"/>
      <c r="U158" s="11"/>
      <c r="V158" s="11"/>
      <c r="W158" s="11"/>
      <c r="X158" s="11"/>
    </row>
    <row r="159" spans="18:24">
      <c r="R159" s="175"/>
      <c r="S159" s="11"/>
      <c r="T159" s="175"/>
      <c r="U159" s="11"/>
      <c r="V159" s="11"/>
      <c r="W159" s="11"/>
      <c r="X159" s="11"/>
    </row>
    <row r="160" spans="18:24">
      <c r="R160" s="175"/>
      <c r="S160" s="11"/>
      <c r="T160" s="175"/>
      <c r="U160" s="11"/>
      <c r="V160" s="11"/>
      <c r="W160" s="11"/>
      <c r="X160" s="11"/>
    </row>
    <row r="161" spans="18:24">
      <c r="R161" s="175"/>
      <c r="S161" s="11"/>
      <c r="T161" s="175"/>
      <c r="U161" s="11"/>
      <c r="V161" s="11"/>
      <c r="W161" s="11"/>
      <c r="X161" s="11"/>
    </row>
    <row r="162" spans="18:24">
      <c r="R162" s="175"/>
      <c r="S162" s="11"/>
      <c r="T162" s="175"/>
      <c r="U162" s="11"/>
      <c r="V162" s="11"/>
      <c r="W162" s="11"/>
      <c r="X162" s="11"/>
    </row>
    <row r="163" spans="18:24">
      <c r="R163" s="175"/>
      <c r="S163" s="11"/>
      <c r="T163" s="175"/>
      <c r="U163" s="11"/>
      <c r="V163" s="11"/>
      <c r="W163" s="11"/>
      <c r="X163" s="11"/>
    </row>
    <row r="164" spans="18:24">
      <c r="R164" s="175"/>
      <c r="S164" s="11"/>
      <c r="T164" s="175"/>
      <c r="U164" s="11"/>
      <c r="V164" s="11"/>
      <c r="W164" s="11"/>
      <c r="X164" s="11"/>
    </row>
    <row r="165" spans="18:24">
      <c r="R165" s="175"/>
      <c r="S165" s="11"/>
      <c r="T165" s="175"/>
      <c r="U165" s="11"/>
      <c r="V165" s="11"/>
      <c r="W165" s="11"/>
      <c r="X165" s="11"/>
    </row>
    <row r="166" spans="18:24">
      <c r="R166" s="175"/>
      <c r="S166" s="11"/>
      <c r="T166" s="175"/>
      <c r="U166" s="11"/>
      <c r="V166" s="11"/>
      <c r="W166" s="11"/>
      <c r="X166" s="11"/>
    </row>
    <row r="167" spans="18:24">
      <c r="R167" s="175"/>
      <c r="S167" s="11"/>
      <c r="T167" s="175"/>
      <c r="U167" s="11"/>
      <c r="V167" s="11"/>
      <c r="W167" s="11"/>
      <c r="X167" s="11"/>
    </row>
    <row r="168" spans="18:24">
      <c r="R168" s="175"/>
      <c r="S168" s="11"/>
      <c r="T168" s="175"/>
      <c r="U168" s="11"/>
      <c r="V168" s="11"/>
      <c r="W168" s="11"/>
      <c r="X168" s="11"/>
    </row>
    <row r="169" spans="18:24">
      <c r="R169" s="175"/>
      <c r="S169" s="11"/>
      <c r="T169" s="175"/>
      <c r="U169" s="11"/>
      <c r="V169" s="11"/>
      <c r="W169" s="11"/>
      <c r="X169" s="11"/>
    </row>
    <row r="170" spans="18:24">
      <c r="R170" s="175"/>
      <c r="S170" s="11"/>
      <c r="T170" s="175"/>
      <c r="U170" s="11"/>
      <c r="V170" s="11"/>
      <c r="W170" s="11"/>
      <c r="X170" s="11"/>
    </row>
    <row r="171" spans="18:24">
      <c r="R171" s="175"/>
      <c r="S171" s="11"/>
      <c r="T171" s="175"/>
      <c r="U171" s="11"/>
      <c r="V171" s="11"/>
      <c r="W171" s="11"/>
      <c r="X171" s="11"/>
    </row>
    <row r="172" spans="18:24">
      <c r="R172" s="175"/>
      <c r="S172" s="11"/>
      <c r="T172" s="175"/>
      <c r="U172" s="11"/>
      <c r="V172" s="11"/>
      <c r="W172" s="11"/>
      <c r="X172" s="11"/>
    </row>
    <row r="173" spans="18:24">
      <c r="R173" s="175"/>
      <c r="S173" s="11"/>
      <c r="T173" s="175"/>
      <c r="U173" s="11"/>
      <c r="V173" s="11"/>
      <c r="W173" s="11"/>
      <c r="X173" s="11"/>
    </row>
    <row r="174" spans="18:24">
      <c r="R174" s="175"/>
      <c r="S174" s="11"/>
      <c r="T174" s="175"/>
      <c r="U174" s="11"/>
      <c r="V174" s="11"/>
      <c r="W174" s="11"/>
      <c r="X174" s="11"/>
    </row>
    <row r="175" spans="18:24">
      <c r="R175" s="175"/>
      <c r="S175" s="11"/>
      <c r="T175" s="175"/>
      <c r="U175" s="11"/>
      <c r="V175" s="11"/>
      <c r="W175" s="11"/>
      <c r="X175" s="11"/>
    </row>
    <row r="176" spans="18:24">
      <c r="R176" s="175"/>
      <c r="S176" s="11"/>
      <c r="T176" s="175"/>
      <c r="U176" s="11"/>
      <c r="V176" s="11"/>
      <c r="W176" s="11"/>
      <c r="X176" s="11"/>
    </row>
    <row r="177" spans="18:24">
      <c r="R177" s="175"/>
      <c r="S177" s="11"/>
      <c r="T177" s="175"/>
      <c r="U177" s="11"/>
      <c r="V177" s="11"/>
      <c r="W177" s="11"/>
      <c r="X177" s="11"/>
    </row>
    <row r="178" spans="18:24">
      <c r="R178" s="175"/>
      <c r="S178" s="11"/>
      <c r="T178" s="175"/>
      <c r="U178" s="11"/>
      <c r="V178" s="11"/>
      <c r="W178" s="11"/>
      <c r="X178" s="11"/>
    </row>
    <row r="179" spans="18:24">
      <c r="R179" s="175"/>
      <c r="S179" s="11"/>
      <c r="T179" s="175"/>
      <c r="U179" s="11"/>
      <c r="V179" s="11"/>
      <c r="W179" s="11"/>
      <c r="X179" s="11"/>
    </row>
    <row r="180" spans="18:24">
      <c r="R180" s="175"/>
      <c r="S180" s="11"/>
      <c r="T180" s="175"/>
      <c r="U180" s="11"/>
      <c r="V180" s="11"/>
      <c r="W180" s="11"/>
      <c r="X180" s="11"/>
    </row>
    <row r="181" spans="18:24">
      <c r="R181" s="175"/>
      <c r="S181" s="11"/>
      <c r="T181" s="175"/>
      <c r="U181" s="11"/>
      <c r="V181" s="11"/>
      <c r="W181" s="11"/>
      <c r="X181" s="11"/>
    </row>
    <row r="182" spans="18:24">
      <c r="R182" s="175"/>
      <c r="S182" s="11"/>
      <c r="T182" s="175"/>
      <c r="U182" s="11"/>
      <c r="V182" s="11"/>
      <c r="W182" s="11"/>
      <c r="X182" s="11"/>
    </row>
    <row r="183" spans="18:24">
      <c r="R183" s="175"/>
      <c r="S183" s="11"/>
      <c r="T183" s="175"/>
      <c r="U183" s="11"/>
      <c r="V183" s="11"/>
      <c r="W183" s="11"/>
      <c r="X183" s="11"/>
    </row>
    <row r="184" spans="18:24">
      <c r="R184" s="175"/>
      <c r="S184" s="11"/>
      <c r="T184" s="175"/>
      <c r="U184" s="11"/>
      <c r="V184" s="11"/>
      <c r="W184" s="11"/>
      <c r="X184" s="11"/>
    </row>
    <row r="185" spans="18:24">
      <c r="R185" s="175"/>
      <c r="S185" s="11"/>
      <c r="T185" s="175"/>
      <c r="U185" s="11"/>
      <c r="V185" s="11"/>
      <c r="W185" s="11"/>
      <c r="X185" s="11"/>
    </row>
    <row r="186" spans="18:24">
      <c r="R186" s="175"/>
      <c r="S186" s="11"/>
      <c r="T186" s="175"/>
      <c r="U186" s="11"/>
      <c r="V186" s="11"/>
      <c r="W186" s="11"/>
      <c r="X186" s="11"/>
    </row>
    <row r="187" spans="18:24">
      <c r="R187" s="175"/>
      <c r="S187" s="11"/>
      <c r="T187" s="175"/>
      <c r="U187" s="11"/>
      <c r="V187" s="11"/>
      <c r="W187" s="11"/>
      <c r="X187" s="11"/>
    </row>
    <row r="188" spans="18:24">
      <c r="R188" s="175"/>
      <c r="S188" s="11"/>
      <c r="T188" s="175"/>
      <c r="U188" s="11"/>
      <c r="V188" s="11"/>
      <c r="W188" s="11"/>
      <c r="X188" s="11"/>
    </row>
    <row r="189" spans="18:24">
      <c r="R189" s="175"/>
      <c r="S189" s="11"/>
      <c r="T189" s="175"/>
      <c r="U189" s="11"/>
      <c r="V189" s="11"/>
      <c r="W189" s="11"/>
      <c r="X189" s="11"/>
    </row>
    <row r="190" spans="18:24">
      <c r="R190" s="175"/>
      <c r="S190" s="11"/>
      <c r="T190" s="175"/>
      <c r="U190" s="11"/>
      <c r="V190" s="11"/>
      <c r="W190" s="11"/>
      <c r="X190" s="11"/>
    </row>
    <row r="191" spans="18:24">
      <c r="R191" s="175"/>
      <c r="S191" s="11"/>
      <c r="T191" s="175"/>
      <c r="U191" s="11"/>
      <c r="V191" s="11"/>
      <c r="W191" s="11"/>
      <c r="X191" s="11"/>
    </row>
    <row r="192" spans="18:24">
      <c r="R192" s="175"/>
      <c r="S192" s="11"/>
      <c r="T192" s="175"/>
      <c r="U192" s="11"/>
      <c r="V192" s="11"/>
      <c r="W192" s="11"/>
      <c r="X192" s="11"/>
    </row>
    <row r="193" spans="18:24">
      <c r="R193" s="175"/>
      <c r="S193" s="11"/>
      <c r="T193" s="175"/>
      <c r="U193" s="11"/>
      <c r="V193" s="11"/>
      <c r="W193" s="11"/>
      <c r="X193" s="11"/>
    </row>
    <row r="194" spans="18:24">
      <c r="R194" s="175"/>
      <c r="S194" s="11"/>
      <c r="T194" s="175"/>
      <c r="U194" s="11"/>
      <c r="V194" s="11"/>
      <c r="W194" s="11"/>
      <c r="X194" s="11"/>
    </row>
    <row r="195" spans="18:24">
      <c r="R195" s="175"/>
      <c r="S195" s="11"/>
      <c r="T195" s="175"/>
      <c r="U195" s="11"/>
      <c r="V195" s="11"/>
      <c r="W195" s="11"/>
      <c r="X195" s="11"/>
    </row>
    <row r="196" spans="18:24">
      <c r="R196" s="175"/>
      <c r="S196" s="11"/>
      <c r="T196" s="175"/>
      <c r="U196" s="11"/>
      <c r="V196" s="11"/>
      <c r="W196" s="11"/>
      <c r="X196" s="11"/>
    </row>
    <row r="197" spans="18:24">
      <c r="R197" s="175"/>
      <c r="S197" s="11"/>
      <c r="T197" s="175"/>
      <c r="U197" s="11"/>
      <c r="V197" s="11"/>
      <c r="W197" s="11"/>
      <c r="X197" s="11"/>
    </row>
    <row r="198" spans="18:24">
      <c r="R198" s="175"/>
      <c r="S198" s="11"/>
      <c r="T198" s="175"/>
      <c r="U198" s="11"/>
      <c r="V198" s="11"/>
      <c r="W198" s="11"/>
      <c r="X198" s="11"/>
    </row>
    <row r="199" spans="18:24">
      <c r="R199" s="175"/>
      <c r="S199" s="11"/>
      <c r="T199" s="175"/>
      <c r="U199" s="11"/>
      <c r="V199" s="11"/>
      <c r="W199" s="11"/>
      <c r="X199" s="11"/>
    </row>
    <row r="200" spans="18:24">
      <c r="R200" s="175"/>
      <c r="S200" s="11"/>
      <c r="T200" s="175"/>
      <c r="U200" s="11"/>
      <c r="V200" s="11"/>
      <c r="W200" s="11"/>
      <c r="X200" s="11"/>
    </row>
    <row r="201" spans="18:24">
      <c r="R201" s="175"/>
      <c r="S201" s="11"/>
      <c r="T201" s="175"/>
      <c r="U201" s="11"/>
      <c r="V201" s="11"/>
      <c r="W201" s="11"/>
      <c r="X201" s="11"/>
    </row>
    <row r="202" spans="18:24">
      <c r="R202" s="175"/>
      <c r="S202" s="11"/>
      <c r="T202" s="175"/>
      <c r="U202" s="11"/>
      <c r="V202" s="11"/>
      <c r="W202" s="11"/>
      <c r="X202" s="11"/>
    </row>
    <row r="203" spans="18:24">
      <c r="R203" s="175"/>
      <c r="S203" s="11"/>
      <c r="T203" s="175"/>
      <c r="U203" s="11"/>
      <c r="V203" s="11"/>
      <c r="W203" s="11"/>
      <c r="X203" s="11"/>
    </row>
    <row r="204" spans="18:24">
      <c r="R204" s="175"/>
      <c r="S204" s="11"/>
      <c r="T204" s="175"/>
      <c r="U204" s="11"/>
      <c r="V204" s="11"/>
      <c r="W204" s="11"/>
      <c r="X204" s="11"/>
    </row>
    <row r="205" spans="18:24">
      <c r="R205" s="175"/>
      <c r="S205" s="11"/>
      <c r="T205" s="175"/>
      <c r="U205" s="11"/>
      <c r="V205" s="11"/>
      <c r="W205" s="11"/>
      <c r="X205" s="11"/>
    </row>
    <row r="206" spans="18:24">
      <c r="R206" s="175"/>
      <c r="S206" s="11"/>
      <c r="T206" s="175"/>
      <c r="U206" s="11"/>
      <c r="V206" s="11"/>
      <c r="W206" s="11"/>
      <c r="X206" s="11"/>
    </row>
    <row r="207" spans="18:24">
      <c r="R207" s="175"/>
      <c r="S207" s="11"/>
      <c r="T207" s="175"/>
      <c r="U207" s="11"/>
      <c r="V207" s="11"/>
      <c r="W207" s="11"/>
      <c r="X207" s="11"/>
    </row>
    <row r="208" spans="18:24">
      <c r="R208" s="175"/>
      <c r="S208" s="11"/>
      <c r="T208" s="175"/>
      <c r="U208" s="11"/>
      <c r="V208" s="11"/>
      <c r="W208" s="11"/>
      <c r="X208" s="11"/>
    </row>
    <row r="209" spans="18:24">
      <c r="R209" s="175"/>
      <c r="S209" s="11"/>
      <c r="T209" s="175"/>
      <c r="U209" s="11"/>
      <c r="V209" s="11"/>
      <c r="W209" s="11"/>
      <c r="X209" s="11"/>
    </row>
    <row r="210" spans="18:24">
      <c r="R210" s="175"/>
      <c r="S210" s="11"/>
      <c r="T210" s="175"/>
      <c r="U210" s="11"/>
      <c r="V210" s="11"/>
      <c r="W210" s="11"/>
      <c r="X210" s="11"/>
    </row>
    <row r="211" spans="18:24">
      <c r="R211" s="175"/>
      <c r="S211" s="11"/>
      <c r="T211" s="175"/>
      <c r="U211" s="11"/>
      <c r="V211" s="11"/>
      <c r="W211" s="11"/>
      <c r="X211" s="11"/>
    </row>
    <row r="212" spans="18:24">
      <c r="R212" s="175"/>
      <c r="S212" s="11"/>
      <c r="T212" s="175"/>
      <c r="U212" s="11"/>
      <c r="V212" s="11"/>
      <c r="W212" s="11"/>
      <c r="X212" s="11"/>
    </row>
    <row r="213" spans="18:24">
      <c r="R213" s="175"/>
      <c r="S213" s="11"/>
      <c r="T213" s="175"/>
      <c r="U213" s="11"/>
      <c r="V213" s="11"/>
      <c r="W213" s="11"/>
      <c r="X213" s="11"/>
    </row>
    <row r="214" spans="18:24">
      <c r="R214" s="175"/>
      <c r="S214" s="11"/>
      <c r="T214" s="175"/>
      <c r="U214" s="11"/>
      <c r="V214" s="11"/>
      <c r="W214" s="11"/>
      <c r="X214" s="11"/>
    </row>
    <row r="215" spans="18:24">
      <c r="R215" s="175"/>
      <c r="S215" s="11"/>
      <c r="T215" s="175"/>
      <c r="U215" s="11"/>
      <c r="V215" s="11"/>
      <c r="W215" s="11"/>
      <c r="X215" s="11"/>
    </row>
    <row r="216" spans="18:24">
      <c r="R216" s="175"/>
      <c r="S216" s="11"/>
      <c r="T216" s="175"/>
      <c r="U216" s="11"/>
      <c r="V216" s="11"/>
      <c r="W216" s="11"/>
      <c r="X216" s="11"/>
    </row>
    <row r="217" spans="18:24">
      <c r="R217" s="175"/>
      <c r="S217" s="11"/>
      <c r="T217" s="175"/>
      <c r="U217" s="11"/>
      <c r="V217" s="11"/>
      <c r="W217" s="11"/>
      <c r="X217" s="11"/>
    </row>
    <row r="218" spans="18:24">
      <c r="R218" s="175"/>
      <c r="S218" s="11"/>
      <c r="T218" s="175"/>
      <c r="U218" s="11"/>
      <c r="V218" s="11"/>
      <c r="W218" s="11"/>
      <c r="X218" s="11"/>
    </row>
    <row r="219" spans="18:24">
      <c r="R219" s="175"/>
      <c r="S219" s="11"/>
      <c r="T219" s="175"/>
      <c r="U219" s="11"/>
      <c r="V219" s="11"/>
      <c r="W219" s="11"/>
      <c r="X219" s="11"/>
    </row>
    <row r="220" spans="18:24">
      <c r="R220" s="175"/>
      <c r="S220" s="11"/>
      <c r="T220" s="175"/>
      <c r="U220" s="11"/>
      <c r="V220" s="11"/>
      <c r="W220" s="11"/>
      <c r="X220" s="11"/>
    </row>
    <row r="221" spans="18:24">
      <c r="R221" s="175"/>
      <c r="S221" s="11"/>
      <c r="T221" s="175"/>
      <c r="U221" s="11"/>
      <c r="V221" s="11"/>
      <c r="W221" s="11"/>
      <c r="X221" s="11"/>
    </row>
    <row r="222" spans="18:24">
      <c r="R222" s="175"/>
      <c r="S222" s="11"/>
      <c r="T222" s="175"/>
      <c r="U222" s="11"/>
      <c r="V222" s="11"/>
      <c r="W222" s="11"/>
      <c r="X222" s="11"/>
    </row>
    <row r="223" spans="18:24">
      <c r="R223" s="175"/>
      <c r="S223" s="11"/>
      <c r="T223" s="175"/>
      <c r="U223" s="11"/>
      <c r="V223" s="11"/>
      <c r="W223" s="11"/>
      <c r="X223" s="11"/>
    </row>
    <row r="224" spans="18:24">
      <c r="R224" s="175"/>
      <c r="S224" s="11"/>
      <c r="T224" s="175"/>
      <c r="U224" s="11"/>
      <c r="V224" s="11"/>
      <c r="W224" s="11"/>
      <c r="X224" s="11"/>
    </row>
    <row r="225" spans="18:24">
      <c r="R225" s="175"/>
      <c r="S225" s="11"/>
      <c r="T225" s="175"/>
      <c r="U225" s="11"/>
      <c r="V225" s="11"/>
      <c r="W225" s="11"/>
      <c r="X225" s="11"/>
    </row>
    <row r="226" spans="18:24">
      <c r="R226" s="175"/>
      <c r="S226" s="11"/>
      <c r="T226" s="175"/>
      <c r="U226" s="11"/>
      <c r="V226" s="11"/>
      <c r="W226" s="11"/>
      <c r="X226" s="11"/>
    </row>
    <row r="227" spans="18:24">
      <c r="R227" s="175"/>
      <c r="S227" s="11"/>
      <c r="T227" s="175"/>
      <c r="U227" s="11"/>
      <c r="V227" s="11"/>
      <c r="W227" s="11"/>
      <c r="X227" s="11"/>
    </row>
    <row r="228" spans="18:24">
      <c r="R228" s="175"/>
      <c r="S228" s="11"/>
      <c r="T228" s="175"/>
      <c r="U228" s="11"/>
      <c r="V228" s="11"/>
      <c r="W228" s="11"/>
      <c r="X228" s="11"/>
    </row>
    <row r="229" spans="18:24">
      <c r="R229" s="175"/>
      <c r="S229" s="11"/>
      <c r="T229" s="175"/>
      <c r="U229" s="11"/>
      <c r="V229" s="11"/>
      <c r="W229" s="11"/>
      <c r="X229" s="11"/>
    </row>
    <row r="230" spans="18:24">
      <c r="R230" s="175"/>
      <c r="S230" s="11"/>
      <c r="T230" s="175"/>
      <c r="U230" s="11"/>
      <c r="V230" s="11"/>
      <c r="W230" s="11"/>
      <c r="X230" s="11"/>
    </row>
    <row r="231" spans="18:24">
      <c r="R231" s="175"/>
      <c r="S231" s="11"/>
      <c r="T231" s="175"/>
      <c r="U231" s="11"/>
      <c r="V231" s="11"/>
      <c r="W231" s="11"/>
      <c r="X231" s="11"/>
    </row>
    <row r="232" spans="18:24">
      <c r="R232" s="175"/>
      <c r="S232" s="11"/>
      <c r="T232" s="175"/>
      <c r="U232" s="11"/>
      <c r="V232" s="11"/>
      <c r="W232" s="11"/>
      <c r="X232" s="11"/>
    </row>
    <row r="233" spans="18:24">
      <c r="R233" s="175"/>
      <c r="S233" s="11"/>
      <c r="T233" s="175"/>
      <c r="U233" s="11"/>
      <c r="V233" s="11"/>
      <c r="W233" s="11"/>
      <c r="X233" s="11"/>
    </row>
    <row r="234" spans="18:24">
      <c r="R234" s="175"/>
      <c r="S234" s="11"/>
      <c r="T234" s="175"/>
      <c r="U234" s="11"/>
      <c r="V234" s="11"/>
      <c r="W234" s="11"/>
      <c r="X234" s="11"/>
    </row>
    <row r="235" spans="18:24">
      <c r="R235" s="175"/>
      <c r="S235" s="11"/>
      <c r="T235" s="175"/>
      <c r="U235" s="11"/>
      <c r="V235" s="11"/>
      <c r="W235" s="11"/>
      <c r="X235" s="11"/>
    </row>
    <row r="236" spans="18:24">
      <c r="R236" s="175"/>
      <c r="S236" s="11"/>
      <c r="T236" s="175"/>
      <c r="U236" s="11"/>
      <c r="V236" s="11"/>
      <c r="W236" s="11"/>
      <c r="X236" s="11"/>
    </row>
    <row r="237" spans="18:24">
      <c r="R237" s="175"/>
      <c r="S237" s="11"/>
      <c r="T237" s="175"/>
      <c r="U237" s="11"/>
      <c r="V237" s="11"/>
      <c r="W237" s="11"/>
      <c r="X237" s="11"/>
    </row>
    <row r="238" spans="18:24">
      <c r="R238" s="175"/>
      <c r="S238" s="11"/>
      <c r="T238" s="175"/>
      <c r="U238" s="11"/>
      <c r="V238" s="11"/>
      <c r="W238" s="11"/>
      <c r="X238" s="11"/>
    </row>
    <row r="239" spans="18:24">
      <c r="R239" s="175"/>
      <c r="S239" s="11"/>
      <c r="T239" s="175"/>
      <c r="U239" s="11"/>
      <c r="V239" s="11"/>
      <c r="W239" s="11"/>
      <c r="X239" s="11"/>
    </row>
    <row r="240" spans="18:24">
      <c r="R240" s="175"/>
      <c r="S240" s="11"/>
      <c r="T240" s="175"/>
      <c r="U240" s="11"/>
      <c r="V240" s="11"/>
      <c r="W240" s="11"/>
      <c r="X240" s="11"/>
    </row>
    <row r="241" spans="18:24">
      <c r="R241" s="175"/>
      <c r="S241" s="11"/>
      <c r="T241" s="175"/>
      <c r="U241" s="11"/>
      <c r="V241" s="11"/>
      <c r="W241" s="11"/>
      <c r="X241" s="11"/>
    </row>
    <row r="242" spans="18:24">
      <c r="R242" s="175"/>
      <c r="S242" s="11"/>
      <c r="T242" s="175"/>
      <c r="U242" s="11"/>
      <c r="V242" s="11"/>
      <c r="W242" s="11"/>
      <c r="X242" s="11"/>
    </row>
    <row r="243" spans="18:24">
      <c r="R243" s="175"/>
      <c r="S243" s="11"/>
      <c r="T243" s="175"/>
      <c r="U243" s="11"/>
      <c r="V243" s="11"/>
      <c r="W243" s="11"/>
      <c r="X243" s="11"/>
    </row>
    <row r="244" spans="18:24">
      <c r="R244" s="175"/>
      <c r="S244" s="11"/>
      <c r="T244" s="175"/>
      <c r="U244" s="11"/>
      <c r="V244" s="11"/>
      <c r="W244" s="11"/>
      <c r="X244" s="11"/>
    </row>
    <row r="245" spans="18:24">
      <c r="R245" s="175"/>
      <c r="S245" s="11"/>
      <c r="T245" s="175"/>
      <c r="U245" s="11"/>
      <c r="V245" s="11"/>
      <c r="W245" s="11"/>
      <c r="X245" s="11"/>
    </row>
    <row r="246" spans="18:24">
      <c r="R246" s="175"/>
      <c r="S246" s="11"/>
      <c r="T246" s="175"/>
      <c r="U246" s="11"/>
      <c r="V246" s="11"/>
      <c r="W246" s="11"/>
      <c r="X246" s="11"/>
    </row>
    <row r="247" spans="18:24">
      <c r="R247" s="175"/>
      <c r="S247" s="11"/>
      <c r="T247" s="175"/>
      <c r="U247" s="11"/>
      <c r="V247" s="11"/>
      <c r="W247" s="11"/>
      <c r="X247" s="11"/>
    </row>
    <row r="248" spans="18:24">
      <c r="R248" s="175"/>
      <c r="S248" s="11"/>
      <c r="T248" s="175"/>
      <c r="U248" s="11"/>
      <c r="V248" s="11"/>
      <c r="W248" s="11"/>
      <c r="X248" s="11"/>
    </row>
    <row r="249" spans="18:24">
      <c r="R249" s="175"/>
      <c r="S249" s="11"/>
      <c r="T249" s="175"/>
      <c r="U249" s="11"/>
      <c r="V249" s="11"/>
      <c r="W249" s="11"/>
      <c r="X249" s="11"/>
    </row>
    <row r="250" spans="18:24">
      <c r="R250" s="175"/>
      <c r="S250" s="11"/>
      <c r="T250" s="175"/>
      <c r="U250" s="11"/>
      <c r="V250" s="11"/>
      <c r="W250" s="11"/>
      <c r="X250" s="11"/>
    </row>
    <row r="251" spans="18:24">
      <c r="R251" s="175"/>
      <c r="S251" s="11"/>
      <c r="T251" s="175"/>
      <c r="U251" s="11"/>
      <c r="V251" s="11"/>
      <c r="W251" s="11"/>
      <c r="X251" s="11"/>
    </row>
    <row r="252" spans="18:24">
      <c r="R252" s="175"/>
      <c r="S252" s="11"/>
      <c r="T252" s="175"/>
      <c r="U252" s="11"/>
      <c r="V252" s="11"/>
      <c r="W252" s="11"/>
      <c r="X252" s="11"/>
    </row>
    <row r="253" spans="18:24">
      <c r="R253" s="175"/>
      <c r="S253" s="11"/>
      <c r="T253" s="175"/>
      <c r="U253" s="11"/>
      <c r="V253" s="11"/>
      <c r="W253" s="11"/>
      <c r="X253" s="11"/>
    </row>
    <row r="254" spans="18:24">
      <c r="R254" s="175"/>
      <c r="S254" s="11"/>
      <c r="T254" s="175"/>
      <c r="U254" s="11"/>
      <c r="V254" s="11"/>
      <c r="W254" s="11"/>
      <c r="X254" s="11"/>
    </row>
    <row r="255" spans="18:24">
      <c r="R255" s="175"/>
      <c r="S255" s="11"/>
      <c r="T255" s="175"/>
      <c r="U255" s="11"/>
      <c r="V255" s="11"/>
      <c r="W255" s="11"/>
      <c r="X255" s="11"/>
    </row>
    <row r="256" spans="18:24">
      <c r="R256" s="175"/>
      <c r="S256" s="11"/>
      <c r="T256" s="175"/>
      <c r="U256" s="11"/>
      <c r="V256" s="11"/>
      <c r="W256" s="11"/>
      <c r="X256" s="11"/>
    </row>
    <row r="257" spans="18:24">
      <c r="R257" s="175"/>
      <c r="S257" s="11"/>
      <c r="T257" s="175"/>
      <c r="U257" s="11"/>
      <c r="V257" s="11"/>
      <c r="W257" s="11"/>
      <c r="X257" s="11"/>
    </row>
    <row r="258" spans="18:24">
      <c r="R258" s="175"/>
      <c r="S258" s="11"/>
      <c r="T258" s="175"/>
      <c r="U258" s="11"/>
      <c r="V258" s="11"/>
      <c r="W258" s="11"/>
      <c r="X258" s="11"/>
    </row>
    <row r="259" spans="18:24">
      <c r="R259" s="175"/>
      <c r="S259" s="11"/>
      <c r="T259" s="175"/>
      <c r="U259" s="11"/>
      <c r="V259" s="11"/>
      <c r="W259" s="11"/>
      <c r="X259" s="11"/>
    </row>
    <row r="260" spans="18:24">
      <c r="R260" s="175"/>
      <c r="S260" s="11"/>
      <c r="T260" s="175"/>
      <c r="U260" s="11"/>
      <c r="V260" s="11"/>
      <c r="W260" s="11"/>
      <c r="X260" s="11"/>
    </row>
    <row r="261" spans="18:24">
      <c r="R261" s="175"/>
      <c r="S261" s="11"/>
      <c r="T261" s="175"/>
      <c r="U261" s="11"/>
      <c r="V261" s="11"/>
      <c r="W261" s="11"/>
      <c r="X261" s="11"/>
    </row>
    <row r="262" spans="18:24">
      <c r="R262" s="175"/>
      <c r="S262" s="11"/>
      <c r="T262" s="175"/>
      <c r="U262" s="11"/>
      <c r="V262" s="11"/>
      <c r="W262" s="11"/>
      <c r="X262" s="11"/>
    </row>
    <row r="263" spans="18:24">
      <c r="R263" s="175"/>
      <c r="S263" s="11"/>
      <c r="T263" s="175"/>
      <c r="U263" s="11"/>
      <c r="V263" s="11"/>
      <c r="W263" s="11"/>
      <c r="X263" s="11"/>
    </row>
    <row r="264" spans="18:24">
      <c r="R264" s="175"/>
      <c r="S264" s="11"/>
      <c r="T264" s="175"/>
      <c r="U264" s="11"/>
      <c r="V264" s="11"/>
      <c r="W264" s="11"/>
      <c r="X264" s="11"/>
    </row>
    <row r="265" spans="18:24">
      <c r="R265" s="175"/>
      <c r="S265" s="11"/>
      <c r="T265" s="175"/>
      <c r="U265" s="11"/>
      <c r="V265" s="11"/>
      <c r="W265" s="11"/>
      <c r="X265" s="11"/>
    </row>
    <row r="266" spans="18:24">
      <c r="R266" s="175"/>
      <c r="S266" s="11"/>
      <c r="T266" s="175"/>
      <c r="U266" s="11"/>
      <c r="V266" s="11"/>
      <c r="W266" s="11"/>
      <c r="X266" s="11"/>
    </row>
    <row r="267" spans="18:24">
      <c r="R267" s="175"/>
      <c r="S267" s="11"/>
      <c r="T267" s="175"/>
      <c r="U267" s="11"/>
      <c r="V267" s="11"/>
      <c r="W267" s="11"/>
      <c r="X267" s="11"/>
    </row>
    <row r="268" spans="18:24">
      <c r="R268" s="175"/>
      <c r="S268" s="11"/>
      <c r="T268" s="175"/>
      <c r="U268" s="11"/>
      <c r="V268" s="11"/>
      <c r="W268" s="11"/>
      <c r="X268" s="11"/>
    </row>
    <row r="269" spans="18:24">
      <c r="R269" s="175"/>
      <c r="S269" s="11"/>
      <c r="T269" s="175"/>
      <c r="U269" s="11"/>
      <c r="V269" s="11"/>
      <c r="W269" s="11"/>
      <c r="X269" s="11"/>
    </row>
    <row r="270" spans="18:24">
      <c r="R270" s="175"/>
      <c r="S270" s="11"/>
      <c r="T270" s="175"/>
      <c r="U270" s="11"/>
      <c r="V270" s="11"/>
      <c r="W270" s="11"/>
      <c r="X270" s="11"/>
    </row>
    <row r="271" spans="18:24">
      <c r="R271" s="175"/>
      <c r="S271" s="11"/>
      <c r="T271" s="175"/>
      <c r="U271" s="11"/>
      <c r="V271" s="11"/>
      <c r="W271" s="11"/>
      <c r="X271" s="11"/>
    </row>
    <row r="272" spans="18:24">
      <c r="R272" s="175"/>
      <c r="S272" s="11"/>
      <c r="T272" s="175"/>
      <c r="U272" s="11"/>
      <c r="V272" s="11"/>
      <c r="W272" s="11"/>
      <c r="X272" s="11"/>
    </row>
    <row r="273" spans="18:24">
      <c r="R273" s="175"/>
      <c r="S273" s="11"/>
      <c r="T273" s="175"/>
      <c r="U273" s="11"/>
      <c r="V273" s="11"/>
      <c r="W273" s="11"/>
      <c r="X273" s="11"/>
    </row>
    <row r="274" spans="18:24">
      <c r="R274" s="175"/>
      <c r="S274" s="11"/>
      <c r="T274" s="175"/>
      <c r="U274" s="11"/>
      <c r="V274" s="11"/>
      <c r="W274" s="11"/>
      <c r="X274" s="11"/>
    </row>
    <row r="275" spans="18:24">
      <c r="R275" s="175"/>
      <c r="S275" s="11"/>
      <c r="T275" s="175"/>
      <c r="U275" s="11"/>
      <c r="V275" s="11"/>
      <c r="W275" s="11"/>
      <c r="X275" s="11"/>
    </row>
    <row r="276" spans="18:24">
      <c r="R276" s="175"/>
      <c r="S276" s="11"/>
      <c r="T276" s="175"/>
      <c r="U276" s="11"/>
      <c r="V276" s="11"/>
      <c r="W276" s="11"/>
      <c r="X276" s="11"/>
    </row>
    <row r="277" spans="18:24">
      <c r="R277" s="175"/>
      <c r="S277" s="11"/>
      <c r="T277" s="175"/>
      <c r="U277" s="11"/>
      <c r="V277" s="11"/>
      <c r="W277" s="11"/>
      <c r="X277" s="11"/>
    </row>
    <row r="278" spans="18:24">
      <c r="R278" s="175"/>
      <c r="S278" s="11"/>
      <c r="T278" s="175"/>
      <c r="U278" s="11"/>
      <c r="V278" s="11"/>
      <c r="W278" s="11"/>
      <c r="X278" s="11"/>
    </row>
    <row r="279" spans="18:24">
      <c r="R279" s="175"/>
      <c r="S279" s="11"/>
      <c r="T279" s="175"/>
      <c r="U279" s="11"/>
      <c r="V279" s="11"/>
      <c r="W279" s="11"/>
      <c r="X279" s="11"/>
    </row>
    <row r="280" spans="18:24">
      <c r="R280" s="175"/>
      <c r="S280" s="11"/>
      <c r="T280" s="175"/>
      <c r="U280" s="11"/>
      <c r="V280" s="11"/>
      <c r="W280" s="11"/>
      <c r="X280" s="11"/>
    </row>
    <row r="281" spans="18:24">
      <c r="R281" s="175"/>
      <c r="S281" s="11"/>
      <c r="T281" s="175"/>
      <c r="U281" s="11"/>
      <c r="V281" s="11"/>
      <c r="W281" s="11"/>
      <c r="X281" s="11"/>
    </row>
    <row r="282" spans="18:24">
      <c r="R282" s="175"/>
      <c r="S282" s="11"/>
      <c r="T282" s="175"/>
      <c r="U282" s="11"/>
      <c r="V282" s="11"/>
      <c r="W282" s="11"/>
      <c r="X282" s="11"/>
    </row>
    <row r="283" spans="18:24">
      <c r="R283" s="175"/>
      <c r="S283" s="11"/>
      <c r="T283" s="175"/>
      <c r="U283" s="11"/>
      <c r="V283" s="11"/>
      <c r="W283" s="11"/>
      <c r="X283" s="11"/>
    </row>
    <row r="284" spans="18:24">
      <c r="R284" s="175"/>
      <c r="S284" s="11"/>
      <c r="T284" s="175"/>
      <c r="U284" s="11"/>
      <c r="V284" s="11"/>
      <c r="W284" s="11"/>
      <c r="X284" s="11"/>
    </row>
    <row r="285" spans="18:24">
      <c r="R285" s="175"/>
      <c r="S285" s="11"/>
      <c r="T285" s="175"/>
      <c r="U285" s="11"/>
      <c r="V285" s="11"/>
      <c r="W285" s="11"/>
      <c r="X285" s="11"/>
    </row>
    <row r="286" spans="18:24">
      <c r="R286" s="175"/>
      <c r="S286" s="11"/>
      <c r="T286" s="175"/>
      <c r="U286" s="11"/>
      <c r="V286" s="11"/>
      <c r="W286" s="11"/>
      <c r="X286" s="11"/>
    </row>
    <row r="287" spans="18:24">
      <c r="R287" s="175"/>
      <c r="S287" s="11"/>
      <c r="T287" s="175"/>
      <c r="U287" s="11"/>
      <c r="V287" s="11"/>
      <c r="W287" s="11"/>
      <c r="X287" s="11"/>
    </row>
    <row r="288" spans="18:24">
      <c r="R288" s="175"/>
      <c r="S288" s="11"/>
      <c r="T288" s="175"/>
      <c r="U288" s="11"/>
      <c r="V288" s="11"/>
      <c r="W288" s="11"/>
      <c r="X288" s="11"/>
    </row>
    <row r="289" spans="18:24">
      <c r="R289" s="175"/>
      <c r="S289" s="11"/>
      <c r="T289" s="175"/>
      <c r="U289" s="11"/>
      <c r="V289" s="11"/>
      <c r="W289" s="11"/>
      <c r="X289" s="11"/>
    </row>
    <row r="290" spans="18:24">
      <c r="R290" s="175"/>
      <c r="S290" s="11"/>
      <c r="T290" s="175"/>
      <c r="U290" s="11"/>
      <c r="V290" s="11"/>
      <c r="W290" s="11"/>
      <c r="X290" s="11"/>
    </row>
    <row r="291" spans="18:24">
      <c r="R291" s="175"/>
      <c r="S291" s="11"/>
      <c r="T291" s="175"/>
      <c r="U291" s="11"/>
      <c r="V291" s="11"/>
      <c r="W291" s="11"/>
      <c r="X291" s="11"/>
    </row>
    <row r="292" spans="18:24">
      <c r="R292" s="175"/>
      <c r="S292" s="11"/>
      <c r="T292" s="175"/>
      <c r="U292" s="11"/>
      <c r="V292" s="11"/>
      <c r="W292" s="11"/>
      <c r="X292" s="11"/>
    </row>
    <row r="293" spans="18:24">
      <c r="R293" s="175"/>
      <c r="S293" s="11"/>
      <c r="T293" s="175"/>
      <c r="U293" s="11"/>
      <c r="V293" s="11"/>
      <c r="W293" s="11"/>
      <c r="X293" s="11"/>
    </row>
    <row r="294" spans="18:24">
      <c r="R294" s="175"/>
      <c r="S294" s="11"/>
      <c r="T294" s="175"/>
      <c r="U294" s="11"/>
      <c r="V294" s="11"/>
      <c r="W294" s="11"/>
      <c r="X294" s="11"/>
    </row>
    <row r="295" spans="18:24">
      <c r="R295" s="175"/>
      <c r="S295" s="11"/>
      <c r="T295" s="175"/>
      <c r="U295" s="11"/>
      <c r="V295" s="11"/>
      <c r="W295" s="11"/>
      <c r="X295" s="11"/>
    </row>
    <row r="296" spans="18:24">
      <c r="R296" s="175"/>
      <c r="S296" s="11"/>
      <c r="T296" s="175"/>
      <c r="U296" s="11"/>
      <c r="V296" s="11"/>
      <c r="W296" s="11"/>
      <c r="X296" s="11"/>
    </row>
    <row r="297" spans="18:24">
      <c r="R297" s="175"/>
      <c r="S297" s="11"/>
      <c r="T297" s="175"/>
      <c r="U297" s="11"/>
      <c r="V297" s="11"/>
      <c r="W297" s="11"/>
      <c r="X297" s="11"/>
    </row>
    <row r="298" spans="18:24">
      <c r="R298" s="175"/>
      <c r="S298" s="11"/>
      <c r="T298" s="175"/>
      <c r="U298" s="11"/>
      <c r="V298" s="11"/>
      <c r="W298" s="11"/>
      <c r="X298" s="11"/>
    </row>
    <row r="299" spans="18:24">
      <c r="R299" s="175"/>
      <c r="S299" s="11"/>
      <c r="T299" s="175"/>
      <c r="U299" s="11"/>
      <c r="V299" s="11"/>
      <c r="W299" s="11"/>
      <c r="X299" s="11"/>
    </row>
    <row r="300" spans="18:24">
      <c r="R300" s="175"/>
      <c r="S300" s="11"/>
      <c r="T300" s="175"/>
      <c r="U300" s="11"/>
      <c r="V300" s="11"/>
      <c r="W300" s="11"/>
      <c r="X300" s="11"/>
    </row>
    <row r="301" spans="18:24">
      <c r="R301" s="175"/>
      <c r="S301" s="11"/>
      <c r="T301" s="175"/>
      <c r="U301" s="11"/>
      <c r="V301" s="11"/>
      <c r="W301" s="11"/>
      <c r="X301" s="11"/>
    </row>
    <row r="302" spans="18:24">
      <c r="R302" s="175"/>
      <c r="S302" s="11"/>
      <c r="T302" s="175"/>
      <c r="U302" s="11"/>
      <c r="V302" s="11"/>
      <c r="W302" s="11"/>
      <c r="X302" s="11"/>
    </row>
    <row r="303" spans="18:24">
      <c r="R303" s="175"/>
      <c r="S303" s="11"/>
      <c r="T303" s="175"/>
      <c r="U303" s="11"/>
      <c r="V303" s="11"/>
      <c r="W303" s="11"/>
      <c r="X303" s="11"/>
    </row>
    <row r="304" spans="18:24">
      <c r="R304" s="175"/>
      <c r="S304" s="11"/>
      <c r="T304" s="175"/>
      <c r="U304" s="11"/>
      <c r="V304" s="11"/>
      <c r="W304" s="11"/>
      <c r="X304" s="11"/>
    </row>
    <row r="305" spans="18:24">
      <c r="R305" s="175"/>
      <c r="S305" s="11"/>
      <c r="T305" s="175"/>
      <c r="U305" s="11"/>
      <c r="V305" s="11"/>
      <c r="W305" s="11"/>
      <c r="X305" s="11"/>
    </row>
    <row r="306" spans="18:24">
      <c r="R306" s="175"/>
      <c r="S306" s="11"/>
      <c r="T306" s="175"/>
      <c r="U306" s="11"/>
      <c r="V306" s="11"/>
      <c r="W306" s="11"/>
      <c r="X306" s="11"/>
    </row>
    <row r="307" spans="18:24">
      <c r="R307" s="175"/>
      <c r="S307" s="11"/>
      <c r="T307" s="175"/>
      <c r="U307" s="11"/>
      <c r="V307" s="11"/>
      <c r="W307" s="11"/>
      <c r="X307" s="11"/>
    </row>
    <row r="308" spans="18:24">
      <c r="R308" s="175"/>
      <c r="S308" s="11"/>
      <c r="T308" s="175"/>
      <c r="U308" s="11"/>
      <c r="V308" s="11"/>
      <c r="W308" s="11"/>
      <c r="X308" s="11"/>
    </row>
    <row r="309" spans="18:24">
      <c r="R309" s="175"/>
      <c r="S309" s="11"/>
      <c r="T309" s="175"/>
      <c r="U309" s="11"/>
      <c r="V309" s="11"/>
      <c r="W309" s="11"/>
      <c r="X309" s="11"/>
    </row>
    <row r="310" spans="18:24">
      <c r="R310" s="175"/>
      <c r="S310" s="11"/>
      <c r="T310" s="175"/>
      <c r="U310" s="11"/>
      <c r="V310" s="11"/>
      <c r="W310" s="11"/>
      <c r="X310" s="11"/>
    </row>
    <row r="311" spans="18:24">
      <c r="R311" s="175"/>
      <c r="S311" s="11"/>
      <c r="T311" s="175"/>
      <c r="U311" s="11"/>
      <c r="V311" s="11"/>
      <c r="W311" s="11"/>
      <c r="X311" s="11"/>
    </row>
    <row r="312" spans="18:24">
      <c r="R312" s="175"/>
      <c r="S312" s="11"/>
      <c r="T312" s="175"/>
      <c r="U312" s="11"/>
      <c r="V312" s="11"/>
      <c r="W312" s="11"/>
      <c r="X312" s="11"/>
    </row>
    <row r="313" spans="18:24">
      <c r="R313" s="175"/>
      <c r="S313" s="11"/>
      <c r="T313" s="175"/>
      <c r="U313" s="11"/>
      <c r="V313" s="11"/>
      <c r="W313" s="11"/>
      <c r="X313" s="11"/>
    </row>
    <row r="314" spans="18:24">
      <c r="R314" s="175"/>
      <c r="S314" s="11"/>
      <c r="T314" s="175"/>
      <c r="U314" s="11"/>
      <c r="V314" s="11"/>
      <c r="W314" s="11"/>
      <c r="X314" s="11"/>
    </row>
    <row r="315" spans="18:24">
      <c r="R315" s="175"/>
      <c r="S315" s="11"/>
      <c r="T315" s="175"/>
      <c r="U315" s="11"/>
      <c r="V315" s="11"/>
      <c r="W315" s="11"/>
      <c r="X315" s="11"/>
    </row>
    <row r="316" spans="18:24">
      <c r="R316" s="175"/>
      <c r="S316" s="11"/>
      <c r="T316" s="175"/>
      <c r="U316" s="11"/>
      <c r="V316" s="11"/>
      <c r="W316" s="11"/>
      <c r="X316" s="11"/>
    </row>
    <row r="317" spans="18:24">
      <c r="R317" s="175"/>
      <c r="S317" s="11"/>
      <c r="T317" s="175"/>
      <c r="U317" s="11"/>
      <c r="V317" s="11"/>
      <c r="W317" s="11"/>
      <c r="X317" s="11"/>
    </row>
    <row r="318" spans="18:24">
      <c r="R318" s="175"/>
      <c r="S318" s="11"/>
      <c r="T318" s="175"/>
      <c r="U318" s="11"/>
      <c r="V318" s="11"/>
      <c r="W318" s="11"/>
      <c r="X318" s="11"/>
    </row>
    <row r="319" spans="18:24">
      <c r="R319" s="175"/>
      <c r="S319" s="11"/>
      <c r="T319" s="175"/>
      <c r="U319" s="11"/>
      <c r="V319" s="11"/>
      <c r="W319" s="11"/>
      <c r="X319" s="11"/>
    </row>
    <row r="320" spans="18:24">
      <c r="R320" s="175"/>
      <c r="S320" s="11"/>
      <c r="T320" s="175"/>
      <c r="U320" s="11"/>
      <c r="V320" s="11"/>
      <c r="W320" s="11"/>
      <c r="X320" s="11"/>
    </row>
    <row r="321" spans="18:24">
      <c r="R321" s="175"/>
      <c r="S321" s="11"/>
      <c r="T321" s="175"/>
      <c r="U321" s="11"/>
      <c r="V321" s="11"/>
      <c r="W321" s="11"/>
      <c r="X321" s="11"/>
    </row>
    <row r="322" spans="18:24">
      <c r="R322" s="175"/>
      <c r="S322" s="11"/>
      <c r="T322" s="175"/>
      <c r="U322" s="11"/>
      <c r="V322" s="11"/>
      <c r="W322" s="11"/>
      <c r="X322" s="11"/>
    </row>
    <row r="323" spans="18:24">
      <c r="R323" s="175"/>
      <c r="S323" s="11"/>
      <c r="T323" s="175"/>
      <c r="U323" s="11"/>
      <c r="V323" s="11"/>
      <c r="W323" s="11"/>
      <c r="X323" s="11"/>
    </row>
    <row r="324" spans="18:24">
      <c r="R324" s="175"/>
      <c r="S324" s="11"/>
      <c r="T324" s="175"/>
      <c r="U324" s="11"/>
      <c r="V324" s="11"/>
      <c r="W324" s="11"/>
      <c r="X324" s="11"/>
    </row>
    <row r="325" spans="18:24">
      <c r="R325" s="175"/>
      <c r="S325" s="11"/>
      <c r="T325" s="175"/>
      <c r="U325" s="11"/>
      <c r="V325" s="11"/>
      <c r="W325" s="11"/>
      <c r="X325" s="11"/>
    </row>
    <row r="326" spans="18:24">
      <c r="R326" s="175"/>
      <c r="S326" s="11"/>
      <c r="T326" s="175"/>
      <c r="U326" s="11"/>
      <c r="V326" s="11"/>
      <c r="W326" s="11"/>
      <c r="X326" s="11"/>
    </row>
    <row r="327" spans="18:24">
      <c r="R327" s="175"/>
      <c r="S327" s="11"/>
      <c r="T327" s="175"/>
      <c r="U327" s="11"/>
      <c r="V327" s="11"/>
      <c r="W327" s="11"/>
      <c r="X327" s="11"/>
    </row>
    <row r="328" spans="18:24">
      <c r="R328" s="175"/>
      <c r="S328" s="11"/>
      <c r="T328" s="175"/>
      <c r="U328" s="11"/>
      <c r="V328" s="11"/>
      <c r="W328" s="11"/>
      <c r="X328" s="11"/>
    </row>
    <row r="329" spans="18:24">
      <c r="R329" s="175"/>
      <c r="S329" s="11"/>
      <c r="T329" s="175"/>
      <c r="U329" s="11"/>
      <c r="V329" s="11"/>
      <c r="W329" s="11"/>
      <c r="X329" s="11"/>
    </row>
    <row r="330" spans="18:24">
      <c r="R330" s="175"/>
      <c r="S330" s="11"/>
      <c r="T330" s="175"/>
      <c r="U330" s="11"/>
      <c r="V330" s="11"/>
      <c r="W330" s="11"/>
      <c r="X330" s="11"/>
    </row>
    <row r="331" spans="18:24">
      <c r="R331" s="175"/>
      <c r="S331" s="11"/>
      <c r="T331" s="175"/>
      <c r="U331" s="11"/>
      <c r="V331" s="11"/>
      <c r="W331" s="11"/>
      <c r="X331" s="11"/>
    </row>
    <row r="332" spans="18:24">
      <c r="R332" s="175"/>
      <c r="S332" s="11"/>
      <c r="T332" s="175"/>
      <c r="U332" s="11"/>
      <c r="V332" s="11"/>
      <c r="W332" s="11"/>
      <c r="X332" s="11"/>
    </row>
    <row r="333" spans="18:24">
      <c r="R333" s="175"/>
      <c r="S333" s="11"/>
      <c r="T333" s="175"/>
      <c r="U333" s="11"/>
      <c r="V333" s="11"/>
      <c r="W333" s="11"/>
      <c r="X333" s="11"/>
    </row>
    <row r="334" spans="18:24">
      <c r="R334" s="175"/>
      <c r="S334" s="11"/>
      <c r="T334" s="175"/>
      <c r="U334" s="11"/>
      <c r="V334" s="11"/>
      <c r="W334" s="11"/>
      <c r="X334" s="11"/>
    </row>
    <row r="335" spans="18:24">
      <c r="R335" s="175"/>
      <c r="S335" s="11"/>
      <c r="T335" s="175"/>
      <c r="U335" s="11"/>
      <c r="V335" s="11"/>
      <c r="W335" s="11"/>
      <c r="X335" s="11"/>
    </row>
    <row r="336" spans="18:24">
      <c r="R336" s="175"/>
      <c r="S336" s="11"/>
      <c r="T336" s="175"/>
      <c r="U336" s="11"/>
      <c r="V336" s="11"/>
      <c r="W336" s="11"/>
      <c r="X336" s="11"/>
    </row>
    <row r="337" spans="18:24">
      <c r="R337" s="175"/>
      <c r="S337" s="11"/>
      <c r="T337" s="175"/>
      <c r="U337" s="11"/>
      <c r="V337" s="11"/>
      <c r="W337" s="11"/>
      <c r="X337" s="11"/>
    </row>
    <row r="338" spans="18:24">
      <c r="R338" s="175"/>
      <c r="S338" s="11"/>
      <c r="T338" s="175"/>
      <c r="U338" s="11"/>
      <c r="V338" s="11"/>
      <c r="W338" s="11"/>
      <c r="X338" s="11"/>
    </row>
    <row r="339" spans="18:24">
      <c r="R339" s="175"/>
      <c r="S339" s="11"/>
      <c r="T339" s="175"/>
      <c r="U339" s="11"/>
      <c r="V339" s="11"/>
      <c r="W339" s="11"/>
      <c r="X339" s="11"/>
    </row>
    <row r="340" spans="18:24">
      <c r="R340" s="175"/>
      <c r="S340" s="11"/>
      <c r="T340" s="175"/>
      <c r="U340" s="11"/>
      <c r="V340" s="11"/>
      <c r="W340" s="11"/>
      <c r="X340" s="11"/>
    </row>
    <row r="341" spans="18:24">
      <c r="R341" s="175"/>
      <c r="S341" s="11"/>
      <c r="T341" s="175"/>
      <c r="U341" s="11"/>
      <c r="V341" s="11"/>
      <c r="W341" s="11"/>
      <c r="X341" s="11"/>
    </row>
    <row r="342" spans="18:24">
      <c r="R342" s="175"/>
      <c r="S342" s="11"/>
      <c r="T342" s="175"/>
      <c r="U342" s="11"/>
      <c r="V342" s="11"/>
      <c r="W342" s="11"/>
      <c r="X342" s="11"/>
    </row>
    <row r="343" spans="18:24">
      <c r="R343" s="175"/>
      <c r="S343" s="11"/>
      <c r="T343" s="175"/>
      <c r="U343" s="11"/>
      <c r="V343" s="11"/>
      <c r="W343" s="11"/>
      <c r="X343" s="11"/>
    </row>
    <row r="344" spans="18:24">
      <c r="R344" s="175"/>
      <c r="S344" s="11"/>
      <c r="T344" s="175"/>
      <c r="U344" s="11"/>
      <c r="V344" s="11"/>
      <c r="W344" s="11"/>
      <c r="X344" s="11"/>
    </row>
    <row r="345" spans="18:24">
      <c r="R345" s="175"/>
      <c r="S345" s="11"/>
      <c r="T345" s="175"/>
      <c r="U345" s="11"/>
      <c r="V345" s="11"/>
      <c r="W345" s="11"/>
      <c r="X345" s="11"/>
    </row>
    <row r="346" spans="18:24">
      <c r="R346" s="175"/>
      <c r="S346" s="11"/>
      <c r="T346" s="175"/>
      <c r="U346" s="11"/>
      <c r="V346" s="11"/>
      <c r="W346" s="11"/>
      <c r="X346" s="11"/>
    </row>
    <row r="347" spans="18:24">
      <c r="R347" s="175"/>
      <c r="S347" s="11"/>
      <c r="T347" s="175"/>
      <c r="U347" s="11"/>
      <c r="V347" s="11"/>
      <c r="W347" s="11"/>
      <c r="X347" s="11"/>
    </row>
    <row r="348" spans="18:24">
      <c r="R348" s="175"/>
      <c r="S348" s="11"/>
      <c r="T348" s="175"/>
      <c r="U348" s="11"/>
      <c r="V348" s="11"/>
      <c r="W348" s="11"/>
      <c r="X348" s="11"/>
    </row>
    <row r="349" spans="18:24">
      <c r="R349" s="175"/>
      <c r="S349" s="11"/>
      <c r="T349" s="175"/>
      <c r="U349" s="11"/>
      <c r="V349" s="11"/>
      <c r="W349" s="11"/>
      <c r="X349" s="11"/>
    </row>
    <row r="350" spans="18:24">
      <c r="R350" s="175"/>
      <c r="S350" s="11"/>
      <c r="T350" s="175"/>
      <c r="U350" s="11"/>
      <c r="V350" s="11"/>
      <c r="W350" s="11"/>
      <c r="X350" s="11"/>
    </row>
    <row r="351" spans="18:24">
      <c r="R351" s="175"/>
      <c r="S351" s="11"/>
      <c r="T351" s="175"/>
      <c r="U351" s="11"/>
      <c r="V351" s="11"/>
      <c r="W351" s="11"/>
      <c r="X351" s="11"/>
    </row>
    <row r="352" spans="18:24">
      <c r="R352" s="175"/>
      <c r="S352" s="11"/>
      <c r="T352" s="175"/>
      <c r="U352" s="11"/>
      <c r="V352" s="11"/>
      <c r="W352" s="11"/>
      <c r="X352" s="11"/>
    </row>
    <row r="353" spans="18:24">
      <c r="R353" s="175"/>
      <c r="S353" s="11"/>
      <c r="T353" s="175"/>
      <c r="U353" s="11"/>
      <c r="V353" s="11"/>
      <c r="W353" s="11"/>
      <c r="X353" s="11"/>
    </row>
    <row r="354" spans="18:24">
      <c r="R354" s="175"/>
      <c r="S354" s="11"/>
      <c r="T354" s="175"/>
      <c r="U354" s="11"/>
      <c r="V354" s="11"/>
      <c r="W354" s="11"/>
      <c r="X354" s="11"/>
    </row>
    <row r="355" spans="18:24">
      <c r="R355" s="175"/>
      <c r="S355" s="11"/>
      <c r="T355" s="175"/>
      <c r="U355" s="11"/>
      <c r="V355" s="11"/>
      <c r="W355" s="11"/>
      <c r="X355" s="11"/>
    </row>
    <row r="356" spans="18:24">
      <c r="R356" s="175"/>
      <c r="S356" s="11"/>
      <c r="T356" s="175"/>
      <c r="U356" s="11"/>
      <c r="V356" s="11"/>
      <c r="W356" s="11"/>
      <c r="X356" s="11"/>
    </row>
    <row r="357" spans="18:24">
      <c r="R357" s="175"/>
      <c r="S357" s="11"/>
      <c r="T357" s="175"/>
      <c r="U357" s="11"/>
      <c r="V357" s="11"/>
      <c r="W357" s="11"/>
      <c r="X357" s="11"/>
    </row>
    <row r="358" spans="18:24">
      <c r="R358" s="175"/>
      <c r="S358" s="11"/>
      <c r="T358" s="175"/>
      <c r="U358" s="11"/>
      <c r="V358" s="11"/>
      <c r="W358" s="11"/>
      <c r="X358" s="11"/>
    </row>
    <row r="359" spans="18:24">
      <c r="R359" s="175"/>
      <c r="S359" s="11"/>
      <c r="T359" s="175"/>
      <c r="U359" s="11"/>
      <c r="V359" s="11"/>
      <c r="W359" s="11"/>
      <c r="X359" s="11"/>
    </row>
    <row r="360" spans="18:24">
      <c r="R360" s="175"/>
      <c r="S360" s="11"/>
      <c r="T360" s="175"/>
      <c r="U360" s="11"/>
      <c r="V360" s="11"/>
      <c r="W360" s="11"/>
      <c r="X360" s="11"/>
    </row>
    <row r="361" spans="18:24">
      <c r="R361" s="175"/>
      <c r="S361" s="11"/>
      <c r="T361" s="175"/>
      <c r="U361" s="11"/>
      <c r="V361" s="11"/>
      <c r="W361" s="11"/>
      <c r="X361" s="11"/>
    </row>
    <row r="362" spans="18:24">
      <c r="R362" s="175"/>
      <c r="S362" s="11"/>
      <c r="T362" s="175"/>
      <c r="U362" s="11"/>
      <c r="V362" s="11"/>
      <c r="W362" s="11"/>
      <c r="X362" s="11"/>
    </row>
    <row r="363" spans="18:24">
      <c r="R363" s="175"/>
      <c r="S363" s="11"/>
      <c r="T363" s="175"/>
      <c r="U363" s="11"/>
      <c r="V363" s="11"/>
      <c r="W363" s="11"/>
      <c r="X363" s="11"/>
    </row>
    <row r="364" spans="18:24">
      <c r="R364" s="175"/>
      <c r="S364" s="11"/>
      <c r="T364" s="175"/>
      <c r="U364" s="11"/>
      <c r="V364" s="11"/>
      <c r="W364" s="11"/>
      <c r="X364" s="11"/>
    </row>
    <row r="365" spans="18:24">
      <c r="R365" s="175"/>
      <c r="S365" s="11"/>
      <c r="T365" s="175"/>
      <c r="U365" s="11"/>
      <c r="V365" s="11"/>
      <c r="W365" s="11"/>
      <c r="X365" s="11"/>
    </row>
    <row r="366" spans="18:24">
      <c r="R366" s="175"/>
      <c r="S366" s="11"/>
      <c r="T366" s="175"/>
      <c r="U366" s="11"/>
      <c r="V366" s="11"/>
      <c r="W366" s="11"/>
      <c r="X366" s="11"/>
    </row>
    <row r="367" spans="18:24">
      <c r="R367" s="175"/>
      <c r="S367" s="11"/>
      <c r="T367" s="175"/>
      <c r="U367" s="11"/>
      <c r="V367" s="11"/>
      <c r="W367" s="11"/>
      <c r="X367" s="11"/>
    </row>
    <row r="368" spans="18:24">
      <c r="R368" s="175"/>
      <c r="S368" s="11"/>
      <c r="T368" s="175"/>
      <c r="U368" s="11"/>
      <c r="V368" s="11"/>
      <c r="W368" s="11"/>
      <c r="X368" s="11"/>
    </row>
    <row r="369" spans="18:24">
      <c r="R369" s="175"/>
      <c r="S369" s="11"/>
      <c r="T369" s="175"/>
      <c r="U369" s="11"/>
      <c r="V369" s="11"/>
      <c r="W369" s="11"/>
      <c r="X369" s="11"/>
    </row>
    <row r="370" spans="18:24">
      <c r="R370" s="175"/>
      <c r="S370" s="11"/>
      <c r="T370" s="175"/>
      <c r="U370" s="11"/>
      <c r="V370" s="11"/>
      <c r="W370" s="11"/>
      <c r="X370" s="11"/>
    </row>
    <row r="371" spans="18:24">
      <c r="R371" s="175"/>
      <c r="S371" s="11"/>
      <c r="T371" s="175"/>
      <c r="U371" s="11"/>
      <c r="V371" s="11"/>
      <c r="W371" s="11"/>
      <c r="X371" s="11"/>
    </row>
    <row r="372" spans="18:24">
      <c r="R372" s="175"/>
      <c r="S372" s="11"/>
      <c r="T372" s="175"/>
      <c r="U372" s="11"/>
      <c r="V372" s="11"/>
      <c r="W372" s="11"/>
      <c r="X372" s="11"/>
    </row>
    <row r="373" spans="18:24">
      <c r="R373" s="175"/>
      <c r="S373" s="11"/>
      <c r="T373" s="175"/>
      <c r="U373" s="11"/>
      <c r="V373" s="11"/>
      <c r="W373" s="11"/>
      <c r="X373" s="11"/>
    </row>
    <row r="374" spans="18:24">
      <c r="R374" s="175"/>
      <c r="S374" s="11"/>
      <c r="T374" s="175"/>
      <c r="U374" s="11"/>
      <c r="V374" s="11"/>
      <c r="W374" s="11"/>
      <c r="X374" s="11"/>
    </row>
    <row r="375" spans="18:24">
      <c r="R375" s="175"/>
      <c r="S375" s="11"/>
      <c r="T375" s="175"/>
      <c r="U375" s="11"/>
      <c r="V375" s="11"/>
      <c r="W375" s="11"/>
      <c r="X375" s="11"/>
    </row>
    <row r="376" spans="18:24">
      <c r="R376" s="175"/>
      <c r="S376" s="11"/>
      <c r="T376" s="175"/>
      <c r="U376" s="11"/>
      <c r="V376" s="11"/>
      <c r="W376" s="11"/>
      <c r="X376" s="11"/>
    </row>
    <row r="377" spans="18:24">
      <c r="R377" s="175"/>
      <c r="S377" s="11"/>
      <c r="T377" s="175"/>
      <c r="U377" s="11"/>
      <c r="V377" s="11"/>
      <c r="W377" s="11"/>
      <c r="X377" s="11"/>
    </row>
    <row r="378" spans="18:24">
      <c r="R378" s="175"/>
      <c r="S378" s="11"/>
      <c r="T378" s="175"/>
      <c r="U378" s="11"/>
      <c r="V378" s="11"/>
      <c r="W378" s="11"/>
      <c r="X378" s="11"/>
    </row>
    <row r="379" spans="18:24">
      <c r="R379" s="175"/>
      <c r="S379" s="11"/>
      <c r="T379" s="175"/>
      <c r="U379" s="11"/>
      <c r="V379" s="11"/>
      <c r="W379" s="11"/>
      <c r="X379" s="11"/>
    </row>
    <row r="380" spans="18:24">
      <c r="R380" s="175"/>
      <c r="S380" s="11"/>
      <c r="T380" s="175"/>
      <c r="U380" s="11"/>
      <c r="V380" s="11"/>
      <c r="W380" s="11"/>
      <c r="X380" s="11"/>
    </row>
    <row r="381" spans="18:24">
      <c r="R381" s="175"/>
      <c r="S381" s="11"/>
      <c r="T381" s="175"/>
      <c r="U381" s="11"/>
      <c r="V381" s="11"/>
      <c r="W381" s="11"/>
      <c r="X381" s="11"/>
    </row>
    <row r="382" spans="18:24">
      <c r="R382" s="175"/>
      <c r="S382" s="11"/>
      <c r="T382" s="175"/>
      <c r="U382" s="11"/>
      <c r="V382" s="11"/>
      <c r="W382" s="11"/>
      <c r="X382" s="11"/>
    </row>
    <row r="383" spans="18:24">
      <c r="R383" s="175"/>
      <c r="S383" s="11"/>
      <c r="T383" s="175"/>
      <c r="U383" s="11"/>
      <c r="V383" s="11"/>
      <c r="W383" s="11"/>
      <c r="X383" s="11"/>
    </row>
    <row r="384" spans="18:24">
      <c r="R384" s="175"/>
      <c r="S384" s="11"/>
      <c r="T384" s="175"/>
      <c r="U384" s="11"/>
      <c r="V384" s="11"/>
      <c r="W384" s="11"/>
      <c r="X384" s="11"/>
    </row>
    <row r="385" spans="18:24">
      <c r="R385" s="175"/>
      <c r="S385" s="11"/>
      <c r="T385" s="175"/>
      <c r="U385" s="11"/>
      <c r="V385" s="11"/>
      <c r="W385" s="11"/>
      <c r="X385" s="11"/>
    </row>
    <row r="386" spans="18:24">
      <c r="R386" s="175"/>
      <c r="S386" s="11"/>
      <c r="T386" s="175"/>
      <c r="U386" s="11"/>
      <c r="V386" s="11"/>
      <c r="W386" s="11"/>
      <c r="X386" s="11"/>
    </row>
    <row r="387" spans="18:24">
      <c r="R387" s="175"/>
      <c r="S387" s="11"/>
      <c r="T387" s="175"/>
      <c r="U387" s="11"/>
      <c r="V387" s="11"/>
      <c r="W387" s="11"/>
      <c r="X387" s="11"/>
    </row>
    <row r="388" spans="18:24">
      <c r="R388" s="175"/>
      <c r="S388" s="11"/>
      <c r="T388" s="175"/>
      <c r="U388" s="11"/>
      <c r="V388" s="11"/>
      <c r="W388" s="11"/>
      <c r="X388" s="11"/>
    </row>
    <row r="389" spans="18:24">
      <c r="R389" s="175"/>
      <c r="S389" s="11"/>
      <c r="T389" s="175"/>
      <c r="U389" s="11"/>
      <c r="V389" s="11"/>
      <c r="W389" s="11"/>
      <c r="X389" s="11"/>
    </row>
    <row r="390" spans="18:24">
      <c r="R390" s="175"/>
      <c r="S390" s="11"/>
      <c r="T390" s="175"/>
      <c r="U390" s="11"/>
      <c r="V390" s="11"/>
      <c r="W390" s="11"/>
      <c r="X390" s="11"/>
    </row>
    <row r="391" spans="18:24">
      <c r="R391" s="175"/>
      <c r="S391" s="11"/>
      <c r="T391" s="175"/>
      <c r="U391" s="11"/>
      <c r="V391" s="11"/>
      <c r="W391" s="11"/>
      <c r="X391" s="11"/>
    </row>
    <row r="392" spans="18:24">
      <c r="R392" s="175"/>
      <c r="S392" s="11"/>
      <c r="T392" s="175"/>
      <c r="U392" s="11"/>
      <c r="V392" s="11"/>
      <c r="W392" s="11"/>
      <c r="X392" s="11"/>
    </row>
    <row r="393" spans="18:24">
      <c r="R393" s="175"/>
      <c r="S393" s="11"/>
      <c r="T393" s="175"/>
      <c r="U393" s="11"/>
      <c r="V393" s="11"/>
      <c r="W393" s="11"/>
      <c r="X393" s="11"/>
    </row>
    <row r="394" spans="18:24">
      <c r="R394" s="175"/>
      <c r="S394" s="11"/>
      <c r="T394" s="175"/>
      <c r="U394" s="11"/>
      <c r="V394" s="11"/>
      <c r="W394" s="11"/>
      <c r="X394" s="11"/>
    </row>
    <row r="395" spans="18:24">
      <c r="R395" s="175"/>
      <c r="S395" s="11"/>
      <c r="T395" s="175"/>
      <c r="U395" s="11"/>
      <c r="V395" s="11"/>
      <c r="W395" s="11"/>
      <c r="X395" s="11"/>
    </row>
    <row r="396" spans="18:24">
      <c r="R396" s="175"/>
      <c r="S396" s="11"/>
      <c r="T396" s="175"/>
      <c r="U396" s="11"/>
      <c r="V396" s="11"/>
      <c r="W396" s="11"/>
      <c r="X396" s="11"/>
    </row>
    <row r="397" spans="18:24">
      <c r="R397" s="175"/>
      <c r="S397" s="11"/>
      <c r="T397" s="175"/>
      <c r="U397" s="11"/>
      <c r="V397" s="11"/>
      <c r="W397" s="11"/>
      <c r="X397" s="11"/>
    </row>
    <row r="398" spans="18:24">
      <c r="R398" s="175"/>
      <c r="S398" s="11"/>
      <c r="T398" s="175"/>
      <c r="U398" s="11"/>
      <c r="V398" s="11"/>
      <c r="W398" s="11"/>
      <c r="X398" s="11"/>
    </row>
    <row r="399" spans="18:24">
      <c r="R399" s="175"/>
      <c r="S399" s="11"/>
      <c r="T399" s="175"/>
      <c r="U399" s="11"/>
      <c r="V399" s="11"/>
      <c r="W399" s="11"/>
      <c r="X399" s="11"/>
    </row>
    <row r="400" spans="18:24">
      <c r="R400" s="175"/>
      <c r="S400" s="11"/>
      <c r="T400" s="175"/>
      <c r="U400" s="11"/>
      <c r="V400" s="11"/>
      <c r="W400" s="11"/>
      <c r="X400" s="11"/>
    </row>
    <row r="401" spans="18:24">
      <c r="R401" s="175"/>
      <c r="S401" s="11"/>
      <c r="T401" s="175"/>
      <c r="U401" s="11"/>
      <c r="V401" s="11"/>
      <c r="W401" s="11"/>
      <c r="X401" s="11"/>
    </row>
    <row r="402" spans="18:24">
      <c r="R402" s="175"/>
      <c r="S402" s="11"/>
      <c r="T402" s="175"/>
      <c r="U402" s="11"/>
      <c r="V402" s="11"/>
      <c r="W402" s="11"/>
      <c r="X402" s="11"/>
    </row>
    <row r="403" spans="18:24">
      <c r="R403" s="175"/>
      <c r="S403" s="11"/>
      <c r="T403" s="175"/>
      <c r="U403" s="11"/>
      <c r="V403" s="11"/>
      <c r="W403" s="11"/>
      <c r="X403" s="11"/>
    </row>
    <row r="404" spans="18:24">
      <c r="R404" s="175"/>
      <c r="S404" s="11"/>
      <c r="T404" s="175"/>
      <c r="U404" s="11"/>
      <c r="V404" s="11"/>
      <c r="W404" s="11"/>
      <c r="X404" s="11"/>
    </row>
    <row r="405" spans="18:24">
      <c r="R405" s="175"/>
      <c r="S405" s="11"/>
      <c r="T405" s="175"/>
      <c r="U405" s="11"/>
      <c r="V405" s="11"/>
      <c r="W405" s="11"/>
      <c r="X405" s="11"/>
    </row>
    <row r="406" spans="18:24">
      <c r="R406" s="175"/>
      <c r="S406" s="11"/>
      <c r="T406" s="175"/>
      <c r="U406" s="11"/>
      <c r="V406" s="11"/>
      <c r="W406" s="11"/>
      <c r="X406" s="11"/>
    </row>
    <row r="407" spans="18:24">
      <c r="R407" s="175"/>
      <c r="S407" s="11"/>
      <c r="T407" s="175"/>
      <c r="U407" s="11"/>
      <c r="V407" s="11"/>
      <c r="W407" s="11"/>
      <c r="X407" s="11"/>
    </row>
    <row r="408" spans="18:24">
      <c r="R408" s="175"/>
      <c r="S408" s="11"/>
      <c r="T408" s="175"/>
      <c r="U408" s="11"/>
      <c r="V408" s="11"/>
      <c r="W408" s="11"/>
      <c r="X408" s="11"/>
    </row>
    <row r="409" spans="18:24">
      <c r="R409" s="175"/>
      <c r="S409" s="11"/>
      <c r="T409" s="175"/>
      <c r="U409" s="11"/>
      <c r="V409" s="11"/>
      <c r="W409" s="11"/>
      <c r="X409" s="11"/>
    </row>
    <row r="410" spans="18:24">
      <c r="R410" s="175"/>
      <c r="S410" s="11"/>
      <c r="T410" s="175"/>
      <c r="U410" s="11"/>
      <c r="V410" s="11"/>
      <c r="W410" s="11"/>
      <c r="X410" s="11"/>
    </row>
    <row r="411" spans="18:24">
      <c r="R411" s="175"/>
      <c r="S411" s="11"/>
      <c r="T411" s="175"/>
      <c r="U411" s="11"/>
      <c r="V411" s="11"/>
      <c r="W411" s="11"/>
      <c r="X411" s="11"/>
    </row>
    <row r="412" spans="18:24">
      <c r="R412" s="175"/>
      <c r="S412" s="11"/>
      <c r="T412" s="175"/>
      <c r="U412" s="11"/>
      <c r="V412" s="11"/>
      <c r="W412" s="11"/>
      <c r="X412" s="11"/>
    </row>
    <row r="413" spans="18:24">
      <c r="R413" s="175"/>
      <c r="S413" s="11"/>
      <c r="T413" s="175"/>
      <c r="U413" s="11"/>
      <c r="V413" s="11"/>
      <c r="W413" s="11"/>
      <c r="X413" s="11"/>
    </row>
    <row r="414" spans="18:24">
      <c r="R414" s="175"/>
      <c r="S414" s="11"/>
      <c r="T414" s="175"/>
      <c r="U414" s="11"/>
      <c r="V414" s="11"/>
      <c r="W414" s="11"/>
      <c r="X414" s="11"/>
    </row>
    <row r="415" spans="18:24">
      <c r="R415" s="175"/>
      <c r="S415" s="11"/>
      <c r="T415" s="175"/>
      <c r="U415" s="11"/>
      <c r="V415" s="11"/>
      <c r="W415" s="11"/>
      <c r="X415" s="11"/>
    </row>
    <row r="416" spans="18:24">
      <c r="R416" s="175"/>
      <c r="S416" s="11"/>
      <c r="T416" s="175"/>
      <c r="U416" s="11"/>
      <c r="V416" s="11"/>
      <c r="W416" s="11"/>
      <c r="X416" s="11"/>
    </row>
    <row r="417" spans="18:24">
      <c r="R417" s="175"/>
      <c r="S417" s="11"/>
      <c r="T417" s="175"/>
      <c r="U417" s="11"/>
      <c r="V417" s="11"/>
      <c r="W417" s="11"/>
      <c r="X417" s="11"/>
    </row>
    <row r="418" spans="18:24">
      <c r="R418" s="175"/>
      <c r="S418" s="11"/>
      <c r="T418" s="175"/>
      <c r="U418" s="11"/>
      <c r="V418" s="11"/>
      <c r="W418" s="11"/>
      <c r="X418" s="11"/>
    </row>
    <row r="419" spans="18:24">
      <c r="R419" s="175"/>
      <c r="S419" s="11"/>
      <c r="T419" s="175"/>
      <c r="U419" s="11"/>
      <c r="V419" s="11"/>
      <c r="W419" s="11"/>
      <c r="X419" s="11"/>
    </row>
    <row r="420" spans="18:24">
      <c r="R420" s="175"/>
      <c r="S420" s="11"/>
      <c r="T420" s="175"/>
      <c r="U420" s="11"/>
      <c r="V420" s="11"/>
      <c r="W420" s="11"/>
      <c r="X420" s="11"/>
    </row>
    <row r="421" spans="18:24">
      <c r="R421" s="175"/>
      <c r="S421" s="11"/>
      <c r="T421" s="175"/>
      <c r="U421" s="11"/>
      <c r="V421" s="11"/>
      <c r="W421" s="11"/>
      <c r="X421" s="11"/>
    </row>
    <row r="422" spans="18:24">
      <c r="R422" s="175"/>
      <c r="S422" s="11"/>
      <c r="T422" s="175"/>
      <c r="U422" s="11"/>
      <c r="V422" s="11"/>
      <c r="W422" s="11"/>
      <c r="X422" s="11"/>
    </row>
    <row r="423" spans="18:24">
      <c r="R423" s="175"/>
      <c r="S423" s="11"/>
      <c r="T423" s="175"/>
      <c r="U423" s="11"/>
      <c r="V423" s="11"/>
      <c r="W423" s="11"/>
      <c r="X423" s="11"/>
    </row>
    <row r="424" spans="18:24">
      <c r="R424" s="175"/>
      <c r="S424" s="11"/>
      <c r="T424" s="175"/>
      <c r="U424" s="11"/>
      <c r="V424" s="11"/>
      <c r="W424" s="11"/>
      <c r="X424" s="11"/>
    </row>
    <row r="425" spans="18:24">
      <c r="R425" s="175"/>
      <c r="S425" s="11"/>
      <c r="T425" s="175"/>
      <c r="U425" s="11"/>
      <c r="V425" s="11"/>
      <c r="W425" s="11"/>
      <c r="X425" s="11"/>
    </row>
    <row r="426" spans="18:24">
      <c r="R426" s="175"/>
      <c r="S426" s="11"/>
      <c r="T426" s="175"/>
      <c r="U426" s="11"/>
      <c r="V426" s="11"/>
      <c r="W426" s="11"/>
      <c r="X426" s="11"/>
    </row>
    <row r="427" spans="18:24">
      <c r="R427" s="175"/>
      <c r="S427" s="11"/>
      <c r="T427" s="175"/>
      <c r="U427" s="11"/>
      <c r="V427" s="11"/>
      <c r="W427" s="11"/>
      <c r="X427" s="11"/>
    </row>
    <row r="428" spans="18:24">
      <c r="R428" s="175"/>
      <c r="S428" s="11"/>
      <c r="T428" s="175"/>
      <c r="U428" s="11"/>
      <c r="V428" s="11"/>
      <c r="W428" s="11"/>
      <c r="X428" s="11"/>
    </row>
    <row r="429" spans="18:24">
      <c r="R429" s="175"/>
      <c r="S429" s="11"/>
      <c r="T429" s="175"/>
      <c r="U429" s="11"/>
      <c r="V429" s="11"/>
      <c r="W429" s="11"/>
      <c r="X429" s="11"/>
    </row>
    <row r="430" spans="18:24">
      <c r="R430" s="175"/>
      <c r="S430" s="11"/>
      <c r="T430" s="175"/>
      <c r="U430" s="11"/>
      <c r="V430" s="11"/>
      <c r="W430" s="11"/>
      <c r="X430" s="11"/>
    </row>
    <row r="431" spans="18:24">
      <c r="R431" s="175"/>
      <c r="S431" s="11"/>
      <c r="T431" s="175"/>
      <c r="U431" s="11"/>
      <c r="V431" s="11"/>
      <c r="W431" s="11"/>
      <c r="X431" s="11"/>
    </row>
    <row r="432" spans="18:24">
      <c r="R432" s="175"/>
      <c r="S432" s="11"/>
      <c r="T432" s="175"/>
      <c r="U432" s="11"/>
      <c r="V432" s="11"/>
      <c r="W432" s="11"/>
      <c r="X432" s="11"/>
    </row>
    <row r="433" spans="18:24">
      <c r="R433" s="175"/>
      <c r="S433" s="11"/>
      <c r="T433" s="175"/>
      <c r="U433" s="11"/>
      <c r="V433" s="11"/>
      <c r="W433" s="11"/>
      <c r="X433" s="11"/>
    </row>
    <row r="434" spans="18:24">
      <c r="R434" s="175"/>
      <c r="S434" s="11"/>
      <c r="T434" s="175"/>
      <c r="U434" s="11"/>
      <c r="V434" s="11"/>
      <c r="W434" s="11"/>
      <c r="X434" s="11"/>
    </row>
    <row r="435" spans="18:24">
      <c r="R435" s="175"/>
      <c r="S435" s="11"/>
      <c r="T435" s="175"/>
      <c r="U435" s="11"/>
      <c r="V435" s="11"/>
      <c r="W435" s="11"/>
      <c r="X435" s="11"/>
    </row>
    <row r="436" spans="18:24">
      <c r="R436" s="175"/>
      <c r="S436" s="11"/>
      <c r="T436" s="175"/>
      <c r="U436" s="11"/>
      <c r="V436" s="11"/>
      <c r="W436" s="11"/>
      <c r="X436" s="11"/>
    </row>
    <row r="437" spans="18:24">
      <c r="R437" s="175"/>
      <c r="S437" s="11"/>
      <c r="T437" s="175"/>
      <c r="U437" s="11"/>
      <c r="V437" s="11"/>
      <c r="W437" s="11"/>
      <c r="X437" s="11"/>
    </row>
    <row r="438" spans="18:24">
      <c r="R438" s="175"/>
      <c r="S438" s="11"/>
      <c r="T438" s="175"/>
      <c r="U438" s="11"/>
      <c r="V438" s="11"/>
      <c r="W438" s="11"/>
      <c r="X438" s="11"/>
    </row>
    <row r="439" spans="18:24">
      <c r="R439" s="175"/>
      <c r="S439" s="11"/>
      <c r="T439" s="175"/>
      <c r="U439" s="11"/>
      <c r="V439" s="11"/>
      <c r="W439" s="11"/>
      <c r="X439" s="11"/>
    </row>
    <row r="440" spans="18:24">
      <c r="R440" s="175"/>
      <c r="S440" s="11"/>
      <c r="T440" s="175"/>
      <c r="U440" s="11"/>
      <c r="V440" s="11"/>
      <c r="W440" s="11"/>
      <c r="X440" s="11"/>
    </row>
    <row r="441" spans="18:24">
      <c r="R441" s="175"/>
      <c r="S441" s="11"/>
      <c r="T441" s="175"/>
      <c r="U441" s="11"/>
      <c r="V441" s="11"/>
      <c r="W441" s="11"/>
      <c r="X441" s="11"/>
    </row>
    <row r="442" spans="18:24">
      <c r="R442" s="175"/>
      <c r="S442" s="11"/>
      <c r="T442" s="175"/>
      <c r="U442" s="11"/>
      <c r="V442" s="11"/>
      <c r="W442" s="11"/>
      <c r="X442" s="11"/>
    </row>
    <row r="443" spans="18:24">
      <c r="R443" s="175"/>
      <c r="S443" s="11"/>
      <c r="T443" s="175"/>
      <c r="U443" s="11"/>
      <c r="V443" s="11"/>
      <c r="W443" s="11"/>
      <c r="X443" s="11"/>
    </row>
    <row r="444" spans="18:24">
      <c r="R444" s="175"/>
      <c r="S444" s="11"/>
      <c r="T444" s="175"/>
      <c r="U444" s="11"/>
      <c r="V444" s="11"/>
      <c r="W444" s="11"/>
      <c r="X444" s="11"/>
    </row>
    <row r="445" spans="18:24">
      <c r="R445" s="175"/>
      <c r="S445" s="11"/>
      <c r="T445" s="175"/>
      <c r="U445" s="11"/>
      <c r="V445" s="11"/>
      <c r="W445" s="11"/>
      <c r="X445" s="11"/>
    </row>
    <row r="446" spans="18:24">
      <c r="R446" s="175"/>
      <c r="S446" s="11"/>
      <c r="T446" s="175"/>
      <c r="U446" s="11"/>
      <c r="V446" s="11"/>
      <c r="W446" s="11"/>
      <c r="X446" s="11"/>
    </row>
    <row r="447" spans="18:24">
      <c r="R447" s="175"/>
      <c r="S447" s="11"/>
      <c r="T447" s="175"/>
      <c r="U447" s="11"/>
      <c r="V447" s="11"/>
      <c r="W447" s="11"/>
      <c r="X447" s="11"/>
    </row>
    <row r="448" spans="18:24">
      <c r="R448" s="175"/>
      <c r="S448" s="11"/>
      <c r="T448" s="175"/>
      <c r="U448" s="11"/>
      <c r="V448" s="11"/>
      <c r="W448" s="11"/>
      <c r="X448" s="11"/>
    </row>
    <row r="449" spans="18:24">
      <c r="R449" s="175"/>
      <c r="S449" s="11"/>
      <c r="T449" s="175"/>
      <c r="U449" s="11"/>
      <c r="V449" s="11"/>
      <c r="W449" s="11"/>
      <c r="X449" s="11"/>
    </row>
    <row r="450" spans="18:24">
      <c r="R450" s="175"/>
      <c r="S450" s="11"/>
      <c r="T450" s="175"/>
      <c r="U450" s="11"/>
      <c r="V450" s="11"/>
      <c r="W450" s="11"/>
      <c r="X450" s="11"/>
    </row>
    <row r="451" spans="18:24">
      <c r="R451" s="175"/>
      <c r="S451" s="11"/>
      <c r="T451" s="175"/>
      <c r="U451" s="11"/>
      <c r="V451" s="11"/>
      <c r="W451" s="11"/>
      <c r="X451" s="11"/>
    </row>
    <row r="452" spans="18:24">
      <c r="R452" s="175"/>
      <c r="S452" s="11"/>
      <c r="T452" s="175"/>
      <c r="U452" s="11"/>
      <c r="V452" s="11"/>
      <c r="W452" s="11"/>
      <c r="X452" s="11"/>
    </row>
    <row r="453" spans="18:24">
      <c r="R453" s="175"/>
      <c r="S453" s="11"/>
      <c r="T453" s="175"/>
      <c r="U453" s="11"/>
      <c r="V453" s="11"/>
      <c r="W453" s="11"/>
      <c r="X453" s="11"/>
    </row>
    <row r="454" spans="18:24">
      <c r="R454" s="175"/>
      <c r="S454" s="11"/>
      <c r="T454" s="175"/>
      <c r="U454" s="11"/>
      <c r="V454" s="11"/>
      <c r="W454" s="11"/>
      <c r="X454" s="11"/>
    </row>
    <row r="455" spans="18:24">
      <c r="R455" s="175"/>
      <c r="S455" s="11"/>
      <c r="T455" s="175"/>
      <c r="U455" s="11"/>
      <c r="V455" s="11"/>
      <c r="W455" s="11"/>
      <c r="X455" s="11"/>
    </row>
    <row r="456" spans="18:24">
      <c r="R456" s="175"/>
      <c r="S456" s="11"/>
      <c r="T456" s="175"/>
      <c r="U456" s="11"/>
      <c r="V456" s="11"/>
      <c r="W456" s="11"/>
      <c r="X456" s="11"/>
    </row>
    <row r="457" spans="18:24">
      <c r="R457" s="175"/>
      <c r="S457" s="11"/>
      <c r="T457" s="175"/>
      <c r="U457" s="11"/>
      <c r="V457" s="11"/>
      <c r="W457" s="11"/>
      <c r="X457" s="11"/>
    </row>
    <row r="458" spans="18:24">
      <c r="R458" s="175"/>
      <c r="S458" s="11"/>
      <c r="T458" s="175"/>
      <c r="U458" s="11"/>
      <c r="V458" s="11"/>
      <c r="W458" s="11"/>
      <c r="X458" s="11"/>
    </row>
    <row r="459" spans="18:24">
      <c r="R459" s="175"/>
      <c r="S459" s="11"/>
      <c r="T459" s="175"/>
      <c r="U459" s="11"/>
      <c r="V459" s="11"/>
      <c r="W459" s="11"/>
      <c r="X459" s="11"/>
    </row>
    <row r="460" spans="18:24">
      <c r="R460" s="175"/>
      <c r="S460" s="11"/>
      <c r="T460" s="175"/>
      <c r="U460" s="11"/>
      <c r="V460" s="11"/>
      <c r="W460" s="11"/>
      <c r="X460" s="11"/>
    </row>
    <row r="461" spans="18:24">
      <c r="R461" s="175"/>
      <c r="S461" s="11"/>
      <c r="T461" s="175"/>
      <c r="U461" s="11"/>
      <c r="V461" s="11"/>
      <c r="W461" s="11"/>
      <c r="X461" s="11"/>
    </row>
    <row r="462" spans="18:24">
      <c r="R462" s="175"/>
      <c r="S462" s="11"/>
      <c r="T462" s="175"/>
      <c r="U462" s="11"/>
      <c r="V462" s="11"/>
      <c r="W462" s="11"/>
      <c r="X462" s="11"/>
    </row>
    <row r="463" spans="18:24">
      <c r="R463" s="175"/>
      <c r="S463" s="11"/>
      <c r="T463" s="175"/>
      <c r="U463" s="11"/>
      <c r="V463" s="11"/>
      <c r="W463" s="11"/>
      <c r="X463" s="11"/>
    </row>
    <row r="464" spans="18:24">
      <c r="R464" s="175"/>
      <c r="S464" s="11"/>
      <c r="T464" s="175"/>
      <c r="U464" s="11"/>
      <c r="V464" s="11"/>
      <c r="W464" s="11"/>
      <c r="X464" s="11"/>
    </row>
    <row r="465" spans="18:24">
      <c r="R465" s="175"/>
      <c r="S465" s="11"/>
      <c r="T465" s="175"/>
      <c r="U465" s="11"/>
      <c r="V465" s="11"/>
      <c r="W465" s="11"/>
      <c r="X465" s="11"/>
    </row>
    <row r="466" spans="18:24">
      <c r="R466" s="175"/>
      <c r="S466" s="11"/>
      <c r="T466" s="175"/>
      <c r="U466" s="11"/>
      <c r="V466" s="11"/>
      <c r="W466" s="11"/>
      <c r="X466" s="11"/>
    </row>
    <row r="467" spans="18:24">
      <c r="R467" s="175"/>
      <c r="S467" s="11"/>
      <c r="T467" s="175"/>
      <c r="U467" s="11"/>
      <c r="V467" s="11"/>
      <c r="W467" s="11"/>
      <c r="X467" s="11"/>
    </row>
    <row r="468" spans="18:24">
      <c r="R468" s="175"/>
      <c r="S468" s="11"/>
      <c r="T468" s="175"/>
      <c r="U468" s="11"/>
      <c r="V468" s="11"/>
      <c r="W468" s="11"/>
      <c r="X468" s="11"/>
    </row>
    <row r="469" spans="18:24">
      <c r="R469" s="175"/>
      <c r="S469" s="11"/>
      <c r="T469" s="175"/>
      <c r="U469" s="11"/>
      <c r="V469" s="11"/>
      <c r="W469" s="11"/>
      <c r="X469" s="11"/>
    </row>
    <row r="470" spans="18:24">
      <c r="R470" s="175"/>
      <c r="S470" s="11"/>
      <c r="T470" s="175"/>
      <c r="U470" s="11"/>
      <c r="V470" s="11"/>
      <c r="W470" s="11"/>
      <c r="X470" s="11"/>
    </row>
    <row r="471" spans="18:24">
      <c r="R471" s="175"/>
      <c r="S471" s="11"/>
      <c r="T471" s="175"/>
      <c r="U471" s="11"/>
      <c r="V471" s="11"/>
      <c r="W471" s="11"/>
      <c r="X471" s="11"/>
    </row>
    <row r="472" spans="18:24">
      <c r="R472" s="175"/>
      <c r="S472" s="11"/>
      <c r="T472" s="175"/>
      <c r="U472" s="11"/>
      <c r="V472" s="11"/>
      <c r="W472" s="11"/>
      <c r="X472" s="11"/>
    </row>
    <row r="473" spans="18:24">
      <c r="R473" s="175"/>
      <c r="S473" s="11"/>
      <c r="T473" s="175"/>
      <c r="U473" s="11"/>
      <c r="V473" s="11"/>
      <c r="W473" s="11"/>
      <c r="X473" s="11"/>
    </row>
    <row r="474" spans="18:24">
      <c r="R474" s="175"/>
      <c r="S474" s="11"/>
      <c r="T474" s="175"/>
      <c r="U474" s="11"/>
      <c r="V474" s="11"/>
      <c r="W474" s="11"/>
      <c r="X474" s="11"/>
    </row>
    <row r="475" spans="18:24">
      <c r="R475" s="175"/>
      <c r="S475" s="11"/>
      <c r="T475" s="175"/>
      <c r="U475" s="11"/>
      <c r="V475" s="11"/>
      <c r="W475" s="11"/>
      <c r="X475" s="11"/>
    </row>
    <row r="476" spans="18:24">
      <c r="R476" s="175"/>
      <c r="S476" s="11"/>
      <c r="T476" s="175"/>
      <c r="U476" s="11"/>
      <c r="V476" s="11"/>
      <c r="W476" s="11"/>
      <c r="X476" s="11"/>
    </row>
    <row r="477" spans="18:24">
      <c r="R477" s="175"/>
      <c r="S477" s="11"/>
      <c r="T477" s="175"/>
      <c r="U477" s="11"/>
      <c r="V477" s="11"/>
      <c r="W477" s="11"/>
      <c r="X477" s="11"/>
    </row>
    <row r="478" spans="18:24">
      <c r="R478" s="175"/>
      <c r="S478" s="11"/>
      <c r="T478" s="175"/>
      <c r="U478" s="11"/>
      <c r="V478" s="11"/>
      <c r="W478" s="11"/>
      <c r="X478" s="11"/>
    </row>
    <row r="479" spans="18:24">
      <c r="R479" s="175"/>
      <c r="S479" s="11"/>
      <c r="T479" s="175"/>
      <c r="U479" s="11"/>
      <c r="V479" s="11"/>
      <c r="W479" s="11"/>
      <c r="X479" s="11"/>
    </row>
    <row r="480" spans="18:24">
      <c r="R480" s="175"/>
      <c r="S480" s="11"/>
      <c r="T480" s="175"/>
      <c r="U480" s="11"/>
      <c r="V480" s="11"/>
      <c r="W480" s="11"/>
      <c r="X480" s="11"/>
    </row>
    <row r="481" spans="18:24">
      <c r="R481" s="175"/>
      <c r="S481" s="11"/>
      <c r="T481" s="175"/>
      <c r="U481" s="11"/>
      <c r="V481" s="11"/>
      <c r="W481" s="11"/>
      <c r="X481" s="11"/>
    </row>
    <row r="482" spans="18:24">
      <c r="R482" s="175"/>
      <c r="S482" s="11"/>
      <c r="T482" s="175"/>
      <c r="U482" s="11"/>
      <c r="V482" s="11"/>
      <c r="W482" s="11"/>
      <c r="X482" s="11"/>
    </row>
    <row r="483" spans="18:24">
      <c r="R483" s="175"/>
      <c r="S483" s="11"/>
      <c r="T483" s="175"/>
      <c r="U483" s="11"/>
      <c r="V483" s="11"/>
      <c r="W483" s="11"/>
      <c r="X483" s="11"/>
    </row>
    <row r="484" spans="18:24">
      <c r="R484" s="175"/>
      <c r="S484" s="11"/>
      <c r="T484" s="175"/>
      <c r="U484" s="11"/>
      <c r="V484" s="11"/>
      <c r="W484" s="11"/>
      <c r="X484" s="11"/>
    </row>
    <row r="485" spans="18:24">
      <c r="R485" s="175"/>
      <c r="S485" s="11"/>
      <c r="T485" s="175"/>
      <c r="U485" s="11"/>
      <c r="V485" s="11"/>
      <c r="W485" s="11"/>
      <c r="X485" s="11"/>
    </row>
    <row r="486" spans="18:24">
      <c r="R486" s="175"/>
      <c r="S486" s="11"/>
      <c r="T486" s="175"/>
      <c r="U486" s="11"/>
      <c r="V486" s="11"/>
      <c r="W486" s="11"/>
      <c r="X486" s="11"/>
    </row>
    <row r="487" spans="18:24">
      <c r="R487" s="175"/>
      <c r="S487" s="11"/>
      <c r="T487" s="175"/>
      <c r="U487" s="11"/>
      <c r="V487" s="11"/>
      <c r="W487" s="11"/>
      <c r="X487" s="11"/>
    </row>
    <row r="488" spans="18:24">
      <c r="R488" s="175"/>
      <c r="S488" s="11"/>
      <c r="T488" s="175"/>
      <c r="U488" s="11"/>
      <c r="V488" s="11"/>
      <c r="W488" s="11"/>
      <c r="X488" s="11"/>
    </row>
    <row r="489" spans="18:24">
      <c r="R489" s="175"/>
      <c r="S489" s="11"/>
      <c r="T489" s="175"/>
      <c r="U489" s="11"/>
      <c r="V489" s="11"/>
      <c r="W489" s="11"/>
      <c r="X489" s="11"/>
    </row>
    <row r="490" spans="18:24">
      <c r="R490" s="175"/>
      <c r="S490" s="11"/>
      <c r="T490" s="175"/>
      <c r="U490" s="11"/>
      <c r="V490" s="11"/>
      <c r="W490" s="11"/>
      <c r="X490" s="11"/>
    </row>
    <row r="491" spans="18:24">
      <c r="R491" s="175"/>
      <c r="S491" s="11"/>
      <c r="T491" s="175"/>
      <c r="U491" s="11"/>
      <c r="V491" s="11"/>
      <c r="W491" s="11"/>
      <c r="X491" s="11"/>
    </row>
    <row r="492" spans="18:24">
      <c r="R492" s="175"/>
      <c r="S492" s="11"/>
      <c r="T492" s="175"/>
      <c r="U492" s="11"/>
      <c r="V492" s="11"/>
      <c r="W492" s="11"/>
      <c r="X492" s="11"/>
    </row>
    <row r="493" spans="18:24">
      <c r="R493" s="175"/>
      <c r="S493" s="11"/>
      <c r="T493" s="175"/>
      <c r="U493" s="11"/>
      <c r="V493" s="11"/>
      <c r="W493" s="11"/>
      <c r="X493" s="11"/>
    </row>
    <row r="494" spans="18:24">
      <c r="R494" s="175"/>
      <c r="S494" s="11"/>
      <c r="T494" s="175"/>
      <c r="U494" s="11"/>
      <c r="V494" s="11"/>
      <c r="W494" s="11"/>
      <c r="X494" s="11"/>
    </row>
    <row r="495" spans="18:24">
      <c r="R495" s="175"/>
      <c r="S495" s="11"/>
      <c r="T495" s="175"/>
      <c r="U495" s="11"/>
      <c r="V495" s="11"/>
      <c r="W495" s="11"/>
      <c r="X495" s="11"/>
    </row>
    <row r="496" spans="18:24">
      <c r="R496" s="175"/>
      <c r="S496" s="11"/>
      <c r="T496" s="175"/>
      <c r="U496" s="11"/>
      <c r="V496" s="11"/>
      <c r="W496" s="11"/>
      <c r="X496" s="11"/>
    </row>
    <row r="497" spans="18:24">
      <c r="R497" s="175"/>
      <c r="S497" s="11"/>
      <c r="T497" s="175"/>
      <c r="U497" s="11"/>
      <c r="V497" s="11"/>
      <c r="W497" s="11"/>
      <c r="X497" s="11"/>
    </row>
    <row r="498" spans="18:24">
      <c r="R498" s="175"/>
      <c r="S498" s="11"/>
      <c r="T498" s="175"/>
      <c r="U498" s="11"/>
      <c r="V498" s="11"/>
      <c r="W498" s="11"/>
      <c r="X498" s="11"/>
    </row>
    <row r="499" spans="18:24">
      <c r="R499" s="175"/>
      <c r="S499" s="11"/>
      <c r="T499" s="175"/>
      <c r="U499" s="11"/>
      <c r="V499" s="11"/>
      <c r="W499" s="11"/>
      <c r="X499" s="11"/>
    </row>
    <row r="500" spans="18:24">
      <c r="R500" s="175"/>
      <c r="S500" s="11"/>
      <c r="T500" s="175"/>
      <c r="U500" s="11"/>
      <c r="V500" s="11"/>
      <c r="W500" s="11"/>
      <c r="X500" s="11"/>
    </row>
    <row r="501" spans="18:24">
      <c r="R501" s="175"/>
      <c r="S501" s="11"/>
      <c r="T501" s="175"/>
      <c r="U501" s="11"/>
      <c r="V501" s="11"/>
      <c r="W501" s="11"/>
      <c r="X501" s="11"/>
    </row>
    <row r="502" spans="18:24">
      <c r="R502" s="175"/>
      <c r="S502" s="11"/>
      <c r="T502" s="175"/>
      <c r="U502" s="11"/>
      <c r="V502" s="11"/>
      <c r="W502" s="11"/>
      <c r="X502" s="11"/>
    </row>
    <row r="503" spans="18:24">
      <c r="R503" s="175"/>
      <c r="S503" s="11"/>
      <c r="T503" s="175"/>
      <c r="U503" s="11"/>
      <c r="V503" s="11"/>
      <c r="W503" s="11"/>
      <c r="X503" s="11"/>
    </row>
    <row r="504" spans="18:24">
      <c r="R504" s="175"/>
      <c r="S504" s="11"/>
      <c r="T504" s="175"/>
      <c r="U504" s="11"/>
      <c r="V504" s="11"/>
      <c r="W504" s="11"/>
      <c r="X504" s="11"/>
    </row>
    <row r="505" spans="18:24">
      <c r="R505" s="175"/>
      <c r="S505" s="11"/>
      <c r="T505" s="175"/>
      <c r="U505" s="11"/>
      <c r="V505" s="11"/>
      <c r="W505" s="11"/>
      <c r="X505" s="11"/>
    </row>
    <row r="506" spans="18:24">
      <c r="R506" s="175"/>
      <c r="S506" s="11"/>
      <c r="T506" s="175"/>
      <c r="U506" s="11"/>
      <c r="V506" s="11"/>
      <c r="W506" s="11"/>
      <c r="X506" s="11"/>
    </row>
    <row r="507" spans="18:24">
      <c r="R507" s="175"/>
      <c r="S507" s="11"/>
      <c r="T507" s="175"/>
      <c r="U507" s="11"/>
      <c r="V507" s="11"/>
      <c r="W507" s="11"/>
      <c r="X507" s="11"/>
    </row>
    <row r="508" spans="18:24">
      <c r="R508" s="175"/>
      <c r="S508" s="11"/>
      <c r="T508" s="175"/>
      <c r="U508" s="11"/>
      <c r="V508" s="11"/>
      <c r="W508" s="11"/>
      <c r="X508" s="11"/>
    </row>
    <row r="509" spans="18:24">
      <c r="R509" s="175"/>
      <c r="S509" s="11"/>
      <c r="T509" s="175"/>
      <c r="U509" s="11"/>
      <c r="V509" s="11"/>
      <c r="W509" s="11"/>
      <c r="X509" s="11"/>
    </row>
    <row r="510" spans="18:24">
      <c r="R510" s="175"/>
      <c r="S510" s="11"/>
      <c r="T510" s="175"/>
      <c r="U510" s="11"/>
      <c r="V510" s="11"/>
      <c r="W510" s="11"/>
      <c r="X510" s="11"/>
    </row>
    <row r="511" spans="18:24">
      <c r="R511" s="175"/>
      <c r="S511" s="11"/>
      <c r="T511" s="175"/>
      <c r="U511" s="11"/>
      <c r="V511" s="11"/>
      <c r="W511" s="11"/>
      <c r="X511" s="11"/>
    </row>
    <row r="512" spans="18:24">
      <c r="R512" s="175"/>
      <c r="S512" s="11"/>
      <c r="T512" s="175"/>
      <c r="U512" s="11"/>
      <c r="V512" s="11"/>
      <c r="W512" s="11"/>
      <c r="X512" s="11"/>
    </row>
    <row r="513" spans="18:24">
      <c r="R513" s="175"/>
      <c r="S513" s="11"/>
      <c r="T513" s="175"/>
      <c r="U513" s="11"/>
      <c r="V513" s="11"/>
      <c r="W513" s="11"/>
      <c r="X513" s="11"/>
    </row>
    <row r="514" spans="18:24">
      <c r="R514" s="175"/>
      <c r="S514" s="11"/>
      <c r="T514" s="175"/>
      <c r="U514" s="11"/>
      <c r="V514" s="11"/>
      <c r="W514" s="11"/>
      <c r="X514" s="11"/>
    </row>
    <row r="515" spans="18:24">
      <c r="R515" s="175"/>
      <c r="S515" s="11"/>
      <c r="T515" s="175"/>
      <c r="U515" s="11"/>
      <c r="V515" s="11"/>
      <c r="W515" s="11"/>
      <c r="X515" s="11"/>
    </row>
    <row r="516" spans="18:24">
      <c r="R516" s="175"/>
      <c r="S516" s="11"/>
      <c r="T516" s="175"/>
      <c r="U516" s="11"/>
      <c r="V516" s="11"/>
      <c r="W516" s="11"/>
      <c r="X516" s="11"/>
    </row>
    <row r="517" spans="18:24">
      <c r="R517" s="175"/>
      <c r="S517" s="11"/>
      <c r="T517" s="175"/>
      <c r="U517" s="11"/>
      <c r="V517" s="11"/>
      <c r="W517" s="11"/>
      <c r="X517" s="11"/>
    </row>
    <row r="518" spans="18:24">
      <c r="R518" s="175"/>
      <c r="S518" s="11"/>
      <c r="T518" s="175"/>
      <c r="U518" s="11"/>
      <c r="V518" s="11"/>
      <c r="W518" s="11"/>
      <c r="X518" s="11"/>
    </row>
    <row r="519" spans="18:24">
      <c r="R519" s="175"/>
      <c r="S519" s="11"/>
      <c r="T519" s="175"/>
      <c r="U519" s="11"/>
      <c r="V519" s="11"/>
      <c r="W519" s="11"/>
      <c r="X519" s="11"/>
    </row>
    <row r="520" spans="18:24">
      <c r="R520" s="175"/>
      <c r="S520" s="11"/>
      <c r="T520" s="175"/>
      <c r="U520" s="11"/>
      <c r="V520" s="11"/>
      <c r="W520" s="11"/>
      <c r="X520" s="11"/>
    </row>
    <row r="521" spans="18:24">
      <c r="R521" s="175"/>
      <c r="S521" s="11"/>
      <c r="T521" s="175"/>
      <c r="U521" s="11"/>
      <c r="V521" s="11"/>
      <c r="W521" s="11"/>
      <c r="X521" s="11"/>
    </row>
    <row r="522" spans="18:24">
      <c r="R522" s="175"/>
      <c r="S522" s="11"/>
      <c r="T522" s="175"/>
      <c r="U522" s="11"/>
      <c r="V522" s="11"/>
      <c r="W522" s="11"/>
      <c r="X522" s="11"/>
    </row>
    <row r="523" spans="18:24">
      <c r="R523" s="175"/>
      <c r="S523" s="11"/>
      <c r="T523" s="175"/>
      <c r="U523" s="11"/>
      <c r="V523" s="11"/>
      <c r="W523" s="11"/>
      <c r="X523" s="11"/>
    </row>
    <row r="524" spans="18:24">
      <c r="R524" s="175"/>
      <c r="S524" s="11"/>
      <c r="T524" s="175"/>
      <c r="U524" s="11"/>
      <c r="V524" s="11"/>
      <c r="W524" s="11"/>
      <c r="X524" s="11"/>
    </row>
    <row r="525" spans="18:24">
      <c r="R525" s="175"/>
      <c r="S525" s="11"/>
      <c r="T525" s="175"/>
      <c r="U525" s="11"/>
      <c r="V525" s="11"/>
      <c r="W525" s="11"/>
      <c r="X525" s="11"/>
    </row>
    <row r="526" spans="18:24">
      <c r="R526" s="175"/>
      <c r="S526" s="11"/>
      <c r="T526" s="175"/>
      <c r="U526" s="11"/>
      <c r="V526" s="11"/>
      <c r="W526" s="11"/>
      <c r="X526" s="11"/>
    </row>
    <row r="527" spans="18:24">
      <c r="R527" s="175"/>
      <c r="S527" s="11"/>
      <c r="T527" s="175"/>
      <c r="U527" s="11"/>
      <c r="V527" s="11"/>
      <c r="W527" s="11"/>
      <c r="X527" s="11"/>
    </row>
    <row r="528" spans="18:24">
      <c r="R528" s="175"/>
      <c r="S528" s="11"/>
      <c r="T528" s="175"/>
      <c r="U528" s="11"/>
      <c r="V528" s="11"/>
      <c r="W528" s="11"/>
      <c r="X528" s="11"/>
    </row>
    <row r="529" spans="18:24">
      <c r="R529" s="175"/>
      <c r="S529" s="11"/>
      <c r="T529" s="175"/>
      <c r="U529" s="11"/>
      <c r="V529" s="11"/>
      <c r="W529" s="11"/>
      <c r="X529" s="11"/>
    </row>
    <row r="530" spans="18:24">
      <c r="R530" s="175"/>
      <c r="S530" s="11"/>
      <c r="T530" s="175"/>
      <c r="U530" s="11"/>
      <c r="V530" s="11"/>
      <c r="W530" s="11"/>
      <c r="X530" s="11"/>
    </row>
    <row r="531" spans="18:24">
      <c r="R531" s="175"/>
      <c r="S531" s="11"/>
      <c r="T531" s="175"/>
      <c r="U531" s="11"/>
      <c r="V531" s="11"/>
      <c r="W531" s="11"/>
      <c r="X531" s="11"/>
    </row>
    <row r="532" spans="18:24">
      <c r="R532" s="175"/>
      <c r="S532" s="11"/>
      <c r="T532" s="175"/>
      <c r="U532" s="11"/>
      <c r="V532" s="11"/>
      <c r="W532" s="11"/>
      <c r="X532" s="11"/>
    </row>
    <row r="533" spans="18:24">
      <c r="R533" s="175"/>
      <c r="S533" s="11"/>
      <c r="T533" s="175"/>
      <c r="U533" s="11"/>
      <c r="V533" s="11"/>
      <c r="W533" s="11"/>
      <c r="X533" s="11"/>
    </row>
    <row r="534" spans="18:24">
      <c r="R534" s="175"/>
      <c r="S534" s="11"/>
      <c r="T534" s="175"/>
      <c r="U534" s="11"/>
      <c r="V534" s="11"/>
      <c r="W534" s="11"/>
      <c r="X534" s="11"/>
    </row>
    <row r="535" spans="18:24">
      <c r="R535" s="175"/>
      <c r="S535" s="11"/>
      <c r="T535" s="175"/>
      <c r="U535" s="11"/>
      <c r="V535" s="11"/>
      <c r="W535" s="11"/>
      <c r="X535" s="11"/>
    </row>
    <row r="536" spans="18:24">
      <c r="R536" s="175"/>
      <c r="S536" s="11"/>
      <c r="T536" s="175"/>
      <c r="U536" s="11"/>
      <c r="V536" s="11"/>
      <c r="W536" s="11"/>
      <c r="X536" s="11"/>
    </row>
    <row r="537" spans="18:24">
      <c r="R537" s="175"/>
      <c r="S537" s="11"/>
      <c r="T537" s="175"/>
      <c r="U537" s="11"/>
      <c r="V537" s="11"/>
      <c r="W537" s="11"/>
      <c r="X537" s="11"/>
    </row>
    <row r="538" spans="18:24">
      <c r="R538" s="175"/>
      <c r="S538" s="11"/>
      <c r="T538" s="175"/>
      <c r="U538" s="11"/>
      <c r="V538" s="11"/>
      <c r="W538" s="11"/>
      <c r="X538" s="11"/>
    </row>
    <row r="539" spans="18:24">
      <c r="R539" s="175"/>
      <c r="S539" s="11"/>
      <c r="T539" s="175"/>
      <c r="U539" s="11"/>
      <c r="V539" s="11"/>
      <c r="W539" s="11"/>
      <c r="X539" s="11"/>
    </row>
    <row r="540" spans="18:24">
      <c r="R540" s="175"/>
      <c r="S540" s="11"/>
      <c r="T540" s="175"/>
      <c r="U540" s="11"/>
      <c r="V540" s="11"/>
      <c r="W540" s="11"/>
      <c r="X540" s="11"/>
    </row>
    <row r="541" spans="18:24">
      <c r="R541" s="175"/>
      <c r="S541" s="11"/>
      <c r="T541" s="175"/>
      <c r="U541" s="11"/>
      <c r="V541" s="11"/>
      <c r="W541" s="11"/>
      <c r="X541" s="11"/>
    </row>
    <row r="542" spans="18:24">
      <c r="R542" s="175"/>
      <c r="S542" s="11"/>
      <c r="T542" s="175"/>
      <c r="U542" s="11"/>
      <c r="V542" s="11"/>
      <c r="W542" s="11"/>
      <c r="X542" s="11"/>
    </row>
    <row r="543" spans="18:24">
      <c r="R543" s="175"/>
      <c r="S543" s="11"/>
      <c r="T543" s="175"/>
      <c r="U543" s="11"/>
      <c r="V543" s="11"/>
      <c r="W543" s="11"/>
      <c r="X543" s="11"/>
    </row>
    <row r="544" spans="18:24">
      <c r="R544" s="175"/>
      <c r="S544" s="11"/>
      <c r="T544" s="175"/>
      <c r="U544" s="11"/>
      <c r="V544" s="11"/>
      <c r="W544" s="11"/>
      <c r="X544" s="11"/>
    </row>
    <row r="545" spans="18:24">
      <c r="R545" s="175"/>
      <c r="S545" s="11"/>
      <c r="T545" s="175"/>
      <c r="U545" s="11"/>
      <c r="V545" s="11"/>
      <c r="W545" s="11"/>
      <c r="X545" s="11"/>
    </row>
    <row r="546" spans="18:24">
      <c r="R546" s="175"/>
      <c r="S546" s="11"/>
      <c r="T546" s="175"/>
      <c r="U546" s="11"/>
      <c r="V546" s="11"/>
      <c r="W546" s="11"/>
      <c r="X546" s="11"/>
    </row>
    <row r="547" spans="18:24">
      <c r="R547" s="175"/>
      <c r="S547" s="11"/>
      <c r="T547" s="175"/>
      <c r="U547" s="11"/>
      <c r="V547" s="11"/>
      <c r="W547" s="11"/>
      <c r="X547" s="11"/>
    </row>
    <row r="548" spans="18:24">
      <c r="R548" s="175"/>
      <c r="S548" s="11"/>
      <c r="T548" s="175"/>
      <c r="U548" s="11"/>
      <c r="V548" s="11"/>
      <c r="W548" s="11"/>
      <c r="X548" s="11"/>
    </row>
    <row r="549" spans="18:24">
      <c r="R549" s="175"/>
      <c r="S549" s="11"/>
      <c r="T549" s="175"/>
      <c r="U549" s="11"/>
      <c r="V549" s="11"/>
      <c r="W549" s="11"/>
      <c r="X549" s="11"/>
    </row>
    <row r="550" spans="18:24">
      <c r="R550" s="175"/>
      <c r="S550" s="11"/>
      <c r="T550" s="175"/>
      <c r="U550" s="11"/>
      <c r="V550" s="11"/>
      <c r="W550" s="11"/>
      <c r="X550" s="11"/>
    </row>
    <row r="551" spans="18:24">
      <c r="R551" s="175"/>
      <c r="S551" s="11"/>
      <c r="T551" s="175"/>
      <c r="U551" s="11"/>
      <c r="V551" s="11"/>
      <c r="W551" s="11"/>
      <c r="X551" s="11"/>
    </row>
    <row r="552" spans="18:24">
      <c r="R552" s="175"/>
      <c r="S552" s="11"/>
      <c r="T552" s="175"/>
      <c r="U552" s="11"/>
      <c r="V552" s="11"/>
      <c r="W552" s="11"/>
      <c r="X552" s="11"/>
    </row>
    <row r="553" spans="18:24">
      <c r="R553" s="175"/>
      <c r="S553" s="11"/>
      <c r="T553" s="175"/>
      <c r="U553" s="11"/>
      <c r="V553" s="11"/>
      <c r="W553" s="11"/>
      <c r="X553" s="11"/>
    </row>
    <row r="554" spans="18:24">
      <c r="R554" s="175"/>
      <c r="S554" s="11"/>
      <c r="T554" s="175"/>
      <c r="U554" s="11"/>
      <c r="V554" s="11"/>
      <c r="W554" s="11"/>
      <c r="X554" s="11"/>
    </row>
    <row r="555" spans="18:24">
      <c r="R555" s="175"/>
      <c r="S555" s="11"/>
      <c r="T555" s="175"/>
      <c r="U555" s="11"/>
      <c r="V555" s="11"/>
      <c r="W555" s="11"/>
      <c r="X555" s="11"/>
    </row>
    <row r="556" spans="18:24">
      <c r="R556" s="175"/>
      <c r="S556" s="11"/>
      <c r="T556" s="175"/>
      <c r="U556" s="11"/>
      <c r="V556" s="11"/>
      <c r="W556" s="11"/>
      <c r="X556" s="11"/>
    </row>
    <row r="557" spans="18:24">
      <c r="R557" s="175"/>
      <c r="S557" s="11"/>
      <c r="T557" s="175"/>
      <c r="U557" s="11"/>
      <c r="V557" s="11"/>
      <c r="W557" s="11"/>
      <c r="X557" s="11"/>
    </row>
    <row r="558" spans="18:24">
      <c r="R558" s="175"/>
      <c r="S558" s="11"/>
      <c r="T558" s="175"/>
      <c r="U558" s="11"/>
      <c r="V558" s="11"/>
      <c r="W558" s="11"/>
      <c r="X558" s="11"/>
    </row>
    <row r="559" spans="18:24">
      <c r="R559" s="175"/>
      <c r="S559" s="11"/>
      <c r="T559" s="175"/>
      <c r="U559" s="11"/>
      <c r="V559" s="11"/>
      <c r="W559" s="11"/>
      <c r="X559" s="11"/>
    </row>
    <row r="560" spans="18:24">
      <c r="R560" s="175"/>
      <c r="S560" s="11"/>
      <c r="T560" s="175"/>
      <c r="U560" s="11"/>
      <c r="V560" s="11"/>
      <c r="W560" s="11"/>
      <c r="X560" s="11"/>
    </row>
    <row r="561" spans="18:24">
      <c r="R561" s="175"/>
      <c r="S561" s="11"/>
      <c r="T561" s="175"/>
      <c r="U561" s="11"/>
      <c r="V561" s="11"/>
      <c r="W561" s="11"/>
      <c r="X561" s="11"/>
    </row>
    <row r="562" spans="18:24">
      <c r="R562" s="175"/>
      <c r="S562" s="11"/>
      <c r="T562" s="175"/>
      <c r="U562" s="11"/>
      <c r="V562" s="11"/>
      <c r="W562" s="11"/>
      <c r="X562" s="11"/>
    </row>
    <row r="563" spans="18:24">
      <c r="R563" s="175"/>
      <c r="S563" s="11"/>
      <c r="T563" s="175"/>
      <c r="U563" s="11"/>
      <c r="V563" s="11"/>
      <c r="W563" s="11"/>
      <c r="X563" s="11"/>
    </row>
    <row r="564" spans="18:24">
      <c r="R564" s="175"/>
      <c r="S564" s="11"/>
      <c r="T564" s="175"/>
      <c r="U564" s="11"/>
      <c r="V564" s="11"/>
      <c r="W564" s="11"/>
      <c r="X564" s="11"/>
    </row>
    <row r="565" spans="18:24">
      <c r="R565" s="175"/>
      <c r="S565" s="11"/>
      <c r="T565" s="175"/>
      <c r="U565" s="11"/>
      <c r="V565" s="11"/>
      <c r="W565" s="11"/>
      <c r="X565" s="11"/>
    </row>
    <row r="566" spans="18:24">
      <c r="R566" s="175"/>
      <c r="S566" s="11"/>
      <c r="T566" s="175"/>
      <c r="U566" s="11"/>
      <c r="V566" s="11"/>
      <c r="W566" s="11"/>
      <c r="X566" s="11"/>
    </row>
    <row r="567" spans="18:24">
      <c r="R567" s="175"/>
      <c r="S567" s="11"/>
      <c r="T567" s="175"/>
      <c r="U567" s="11"/>
      <c r="V567" s="11"/>
      <c r="W567" s="11"/>
      <c r="X567" s="11"/>
    </row>
    <row r="568" spans="18:24">
      <c r="R568" s="175"/>
      <c r="S568" s="11"/>
      <c r="T568" s="175"/>
      <c r="U568" s="11"/>
      <c r="V568" s="11"/>
      <c r="W568" s="11"/>
      <c r="X568" s="11"/>
    </row>
    <row r="569" spans="18:24">
      <c r="R569" s="175"/>
      <c r="S569" s="11"/>
      <c r="T569" s="175"/>
      <c r="U569" s="11"/>
      <c r="V569" s="11"/>
      <c r="W569" s="11"/>
      <c r="X569" s="11"/>
    </row>
    <row r="570" spans="18:24">
      <c r="R570" s="175"/>
      <c r="S570" s="11"/>
      <c r="T570" s="175"/>
      <c r="U570" s="11"/>
      <c r="V570" s="11"/>
      <c r="W570" s="11"/>
      <c r="X570" s="11"/>
    </row>
    <row r="571" spans="18:24">
      <c r="R571" s="175"/>
      <c r="S571" s="11"/>
      <c r="T571" s="175"/>
      <c r="U571" s="11"/>
      <c r="V571" s="11"/>
      <c r="W571" s="11"/>
      <c r="X571" s="11"/>
    </row>
    <row r="572" spans="18:24">
      <c r="R572" s="175"/>
      <c r="S572" s="11"/>
      <c r="T572" s="175"/>
      <c r="U572" s="11"/>
      <c r="V572" s="11"/>
      <c r="W572" s="11"/>
      <c r="X572" s="11"/>
    </row>
    <row r="573" spans="18:24">
      <c r="R573" s="175"/>
      <c r="S573" s="11"/>
      <c r="T573" s="175"/>
      <c r="U573" s="11"/>
      <c r="V573" s="11"/>
      <c r="W573" s="11"/>
      <c r="X573" s="11"/>
    </row>
    <row r="574" spans="18:24">
      <c r="R574" s="175"/>
      <c r="S574" s="11"/>
      <c r="T574" s="175"/>
      <c r="U574" s="11"/>
      <c r="V574" s="11"/>
      <c r="W574" s="11"/>
      <c r="X574" s="11"/>
    </row>
    <row r="575" spans="18:24">
      <c r="R575" s="175"/>
      <c r="S575" s="11"/>
      <c r="T575" s="175"/>
      <c r="U575" s="11"/>
      <c r="V575" s="11"/>
      <c r="W575" s="11"/>
      <c r="X575" s="11"/>
    </row>
    <row r="576" spans="18:24">
      <c r="R576" s="175"/>
      <c r="S576" s="11"/>
      <c r="T576" s="175"/>
      <c r="U576" s="11"/>
      <c r="V576" s="11"/>
      <c r="W576" s="11"/>
      <c r="X576" s="11"/>
    </row>
    <row r="577" spans="18:24">
      <c r="R577" s="175"/>
      <c r="S577" s="11"/>
      <c r="T577" s="175"/>
      <c r="U577" s="11"/>
      <c r="V577" s="11"/>
      <c r="W577" s="11"/>
      <c r="X577" s="11"/>
    </row>
    <row r="578" spans="18:24">
      <c r="R578" s="175"/>
      <c r="S578" s="11"/>
      <c r="T578" s="175"/>
      <c r="U578" s="11"/>
      <c r="V578" s="11"/>
      <c r="W578" s="11"/>
      <c r="X578" s="11"/>
    </row>
    <row r="579" spans="18:24">
      <c r="R579" s="175"/>
      <c r="S579" s="11"/>
      <c r="T579" s="175"/>
      <c r="U579" s="11"/>
      <c r="V579" s="11"/>
      <c r="W579" s="11"/>
      <c r="X579" s="11"/>
    </row>
    <row r="580" spans="18:24">
      <c r="R580" s="175"/>
      <c r="S580" s="11"/>
      <c r="T580" s="175"/>
      <c r="U580" s="11"/>
      <c r="V580" s="11"/>
      <c r="W580" s="11"/>
      <c r="X580" s="11"/>
    </row>
    <row r="581" spans="18:24">
      <c r="R581" s="175"/>
      <c r="S581" s="11"/>
      <c r="T581" s="175"/>
      <c r="U581" s="11"/>
      <c r="V581" s="11"/>
      <c r="W581" s="11"/>
      <c r="X581" s="11"/>
    </row>
    <row r="582" spans="18:24">
      <c r="R582" s="175"/>
      <c r="S582" s="11"/>
      <c r="T582" s="175"/>
      <c r="U582" s="11"/>
      <c r="V582" s="11"/>
      <c r="W582" s="11"/>
      <c r="X582" s="11"/>
    </row>
    <row r="583" spans="18:24">
      <c r="R583" s="175"/>
      <c r="S583" s="11"/>
      <c r="T583" s="175"/>
      <c r="U583" s="11"/>
      <c r="V583" s="11"/>
      <c r="W583" s="11"/>
      <c r="X583" s="11"/>
    </row>
    <row r="584" spans="18:24">
      <c r="R584" s="175"/>
      <c r="S584" s="11"/>
      <c r="T584" s="175"/>
      <c r="U584" s="11"/>
      <c r="V584" s="11"/>
      <c r="W584" s="11"/>
      <c r="X584" s="11"/>
    </row>
    <row r="585" spans="18:24">
      <c r="R585" s="175"/>
      <c r="S585" s="11"/>
      <c r="T585" s="175"/>
      <c r="U585" s="11"/>
      <c r="V585" s="11"/>
      <c r="W585" s="11"/>
      <c r="X585" s="11"/>
    </row>
    <row r="586" spans="18:24">
      <c r="R586" s="175"/>
      <c r="S586" s="11"/>
      <c r="T586" s="175"/>
      <c r="U586" s="11"/>
      <c r="V586" s="11"/>
      <c r="W586" s="11"/>
      <c r="X586" s="11"/>
    </row>
    <row r="587" spans="18:24">
      <c r="R587" s="175"/>
      <c r="S587" s="11"/>
      <c r="T587" s="175"/>
      <c r="U587" s="11"/>
      <c r="V587" s="11"/>
      <c r="W587" s="11"/>
      <c r="X587" s="11"/>
    </row>
    <row r="588" spans="18:24">
      <c r="R588" s="175"/>
      <c r="S588" s="11"/>
      <c r="T588" s="175"/>
      <c r="U588" s="11"/>
      <c r="V588" s="11"/>
      <c r="W588" s="11"/>
      <c r="X588" s="11"/>
    </row>
    <row r="589" spans="18:24">
      <c r="R589" s="175"/>
      <c r="S589" s="11"/>
      <c r="T589" s="175"/>
      <c r="U589" s="11"/>
      <c r="V589" s="11"/>
      <c r="W589" s="11"/>
      <c r="X589" s="11"/>
    </row>
    <row r="590" spans="18:24">
      <c r="R590" s="175"/>
      <c r="S590" s="11"/>
      <c r="T590" s="175"/>
      <c r="U590" s="11"/>
      <c r="V590" s="11"/>
      <c r="W590" s="11"/>
      <c r="X590" s="11"/>
    </row>
    <row r="591" spans="18:24">
      <c r="R591" s="175"/>
      <c r="S591" s="11"/>
      <c r="T591" s="175"/>
      <c r="U591" s="11"/>
      <c r="V591" s="11"/>
      <c r="W591" s="11"/>
      <c r="X591" s="11"/>
    </row>
    <row r="592" spans="18:24">
      <c r="R592" s="175"/>
      <c r="S592" s="11"/>
      <c r="T592" s="175"/>
      <c r="U592" s="11"/>
      <c r="V592" s="11"/>
      <c r="W592" s="11"/>
      <c r="X592" s="11"/>
    </row>
    <row r="593" spans="18:24">
      <c r="R593" s="175"/>
      <c r="S593" s="11"/>
      <c r="T593" s="175"/>
      <c r="U593" s="11"/>
      <c r="V593" s="11"/>
      <c r="W593" s="11"/>
      <c r="X593" s="11"/>
    </row>
    <row r="594" spans="18:24">
      <c r="R594" s="175"/>
      <c r="S594" s="11"/>
      <c r="T594" s="175"/>
      <c r="U594" s="11"/>
      <c r="V594" s="11"/>
      <c r="W594" s="11"/>
      <c r="X594" s="11"/>
    </row>
    <row r="595" spans="18:24">
      <c r="R595" s="175"/>
      <c r="S595" s="11"/>
      <c r="T595" s="175"/>
      <c r="U595" s="11"/>
      <c r="V595" s="11"/>
      <c r="W595" s="11"/>
      <c r="X595" s="11"/>
    </row>
    <row r="596" spans="18:24">
      <c r="R596" s="175"/>
      <c r="S596" s="11"/>
      <c r="T596" s="175"/>
      <c r="U596" s="11"/>
      <c r="V596" s="11"/>
      <c r="W596" s="11"/>
      <c r="X596" s="11"/>
    </row>
    <row r="597" spans="18:24">
      <c r="R597" s="175"/>
      <c r="S597" s="11"/>
      <c r="T597" s="175"/>
      <c r="U597" s="11"/>
      <c r="V597" s="11"/>
      <c r="W597" s="11"/>
      <c r="X597" s="11"/>
    </row>
    <row r="598" spans="18:24">
      <c r="R598" s="175"/>
      <c r="S598" s="11"/>
      <c r="T598" s="175"/>
      <c r="U598" s="11"/>
      <c r="V598" s="11"/>
      <c r="W598" s="11"/>
      <c r="X598" s="11"/>
    </row>
    <row r="599" spans="18:24">
      <c r="R599" s="175"/>
      <c r="S599" s="11"/>
      <c r="T599" s="175"/>
      <c r="U599" s="11"/>
      <c r="V599" s="11"/>
      <c r="W599" s="11"/>
      <c r="X599" s="11"/>
    </row>
    <row r="600" spans="18:24">
      <c r="R600" s="175"/>
      <c r="S600" s="11"/>
      <c r="T600" s="175"/>
      <c r="U600" s="11"/>
      <c r="V600" s="11"/>
      <c r="W600" s="11"/>
      <c r="X600" s="11"/>
    </row>
    <row r="601" spans="18:24">
      <c r="R601" s="175"/>
      <c r="S601" s="11"/>
      <c r="T601" s="175"/>
      <c r="U601" s="11"/>
      <c r="V601" s="11"/>
      <c r="W601" s="11"/>
      <c r="X601" s="11"/>
    </row>
    <row r="602" spans="18:24">
      <c r="R602" s="175"/>
      <c r="S602" s="11"/>
      <c r="T602" s="175"/>
      <c r="U602" s="11"/>
      <c r="V602" s="11"/>
      <c r="W602" s="11"/>
      <c r="X602" s="11"/>
    </row>
    <row r="603" spans="18:24">
      <c r="R603" s="175"/>
      <c r="S603" s="11"/>
      <c r="T603" s="175"/>
      <c r="U603" s="11"/>
      <c r="V603" s="11"/>
      <c r="W603" s="11"/>
      <c r="X603" s="11"/>
    </row>
    <row r="604" spans="18:24">
      <c r="R604" s="175"/>
      <c r="S604" s="11"/>
      <c r="T604" s="175"/>
      <c r="U604" s="11"/>
      <c r="V604" s="11"/>
      <c r="W604" s="11"/>
      <c r="X604" s="11"/>
    </row>
    <row r="605" spans="18:24">
      <c r="R605" s="175"/>
      <c r="S605" s="11"/>
      <c r="T605" s="175"/>
      <c r="U605" s="11"/>
      <c r="V605" s="11"/>
      <c r="W605" s="11"/>
      <c r="X605" s="11"/>
    </row>
    <row r="606" spans="18:24">
      <c r="R606" s="175"/>
      <c r="S606" s="11"/>
      <c r="T606" s="175"/>
      <c r="U606" s="11"/>
      <c r="V606" s="11"/>
      <c r="W606" s="11"/>
      <c r="X606" s="11"/>
    </row>
    <row r="607" spans="18:24">
      <c r="R607" s="175"/>
      <c r="S607" s="11"/>
      <c r="T607" s="175"/>
      <c r="U607" s="11"/>
      <c r="V607" s="11"/>
      <c r="W607" s="11"/>
      <c r="X607" s="11"/>
    </row>
    <row r="608" spans="18:24">
      <c r="R608" s="175"/>
      <c r="S608" s="11"/>
      <c r="T608" s="175"/>
      <c r="U608" s="11"/>
      <c r="V608" s="11"/>
      <c r="W608" s="11"/>
      <c r="X608" s="11"/>
    </row>
    <row r="609" spans="18:24">
      <c r="R609" s="175"/>
      <c r="S609" s="11"/>
      <c r="T609" s="175"/>
      <c r="U609" s="11"/>
      <c r="V609" s="11"/>
      <c r="W609" s="11"/>
      <c r="X609" s="11"/>
    </row>
    <row r="610" spans="18:24">
      <c r="R610" s="175"/>
      <c r="S610" s="11"/>
      <c r="T610" s="175"/>
      <c r="U610" s="11"/>
      <c r="V610" s="11"/>
      <c r="W610" s="11"/>
      <c r="X610" s="11"/>
    </row>
    <row r="611" spans="18:24">
      <c r="R611" s="175"/>
      <c r="S611" s="11"/>
      <c r="T611" s="175"/>
      <c r="U611" s="11"/>
      <c r="V611" s="11"/>
      <c r="W611" s="11"/>
      <c r="X611" s="11"/>
    </row>
    <row r="612" spans="18:24">
      <c r="R612" s="175"/>
      <c r="S612" s="11"/>
      <c r="T612" s="175"/>
      <c r="U612" s="11"/>
      <c r="V612" s="11"/>
      <c r="W612" s="11"/>
      <c r="X612" s="11"/>
    </row>
    <row r="613" spans="18:24">
      <c r="R613" s="175"/>
      <c r="S613" s="11"/>
      <c r="T613" s="175"/>
      <c r="U613" s="11"/>
      <c r="V613" s="11"/>
      <c r="W613" s="11"/>
      <c r="X613" s="11"/>
    </row>
    <row r="614" spans="18:24">
      <c r="R614" s="175"/>
      <c r="S614" s="11"/>
      <c r="T614" s="175"/>
      <c r="U614" s="11"/>
      <c r="V614" s="11"/>
      <c r="W614" s="11"/>
      <c r="X614" s="11"/>
    </row>
    <row r="615" spans="18:24">
      <c r="R615" s="175"/>
      <c r="S615" s="11"/>
      <c r="T615" s="175"/>
      <c r="U615" s="11"/>
      <c r="V615" s="11"/>
      <c r="W615" s="11"/>
      <c r="X615" s="11"/>
    </row>
    <row r="616" spans="18:24">
      <c r="R616" s="175"/>
      <c r="S616" s="11"/>
      <c r="T616" s="175"/>
      <c r="U616" s="11"/>
      <c r="V616" s="11"/>
      <c r="W616" s="11"/>
      <c r="X616" s="11"/>
    </row>
    <row r="617" spans="18:24">
      <c r="R617" s="175"/>
      <c r="S617" s="11"/>
      <c r="T617" s="175"/>
      <c r="U617" s="11"/>
      <c r="V617" s="11"/>
      <c r="W617" s="11"/>
      <c r="X617" s="11"/>
    </row>
    <row r="618" spans="18:24">
      <c r="R618" s="175"/>
      <c r="S618" s="11"/>
      <c r="T618" s="175"/>
      <c r="U618" s="11"/>
      <c r="V618" s="11"/>
      <c r="W618" s="11"/>
      <c r="X618" s="11"/>
    </row>
    <row r="619" spans="18:24">
      <c r="R619" s="175"/>
      <c r="S619" s="11"/>
      <c r="T619" s="175"/>
      <c r="U619" s="11"/>
      <c r="V619" s="11"/>
      <c r="W619" s="11"/>
      <c r="X619" s="11"/>
    </row>
    <row r="620" spans="18:24">
      <c r="R620" s="175"/>
      <c r="S620" s="11"/>
      <c r="T620" s="175"/>
      <c r="U620" s="11"/>
      <c r="V620" s="11"/>
      <c r="W620" s="11"/>
      <c r="X620" s="11"/>
    </row>
    <row r="621" spans="18:24">
      <c r="R621" s="175"/>
      <c r="S621" s="11"/>
      <c r="T621" s="175"/>
      <c r="U621" s="11"/>
      <c r="V621" s="11"/>
      <c r="W621" s="11"/>
      <c r="X621" s="11"/>
    </row>
    <row r="622" spans="18:24">
      <c r="R622" s="175"/>
      <c r="S622" s="11"/>
      <c r="T622" s="175"/>
      <c r="U622" s="11"/>
      <c r="V622" s="11"/>
      <c r="W622" s="11"/>
      <c r="X622" s="11"/>
    </row>
    <row r="623" spans="18:24">
      <c r="R623" s="175"/>
      <c r="S623" s="11"/>
      <c r="T623" s="175"/>
      <c r="U623" s="11"/>
      <c r="V623" s="11"/>
      <c r="W623" s="11"/>
      <c r="X623" s="11"/>
    </row>
    <row r="624" spans="18:24">
      <c r="R624" s="175"/>
      <c r="S624" s="11"/>
      <c r="T624" s="175"/>
      <c r="U624" s="11"/>
      <c r="V624" s="11"/>
      <c r="W624" s="11"/>
      <c r="X624" s="11"/>
    </row>
    <row r="625" spans="18:24">
      <c r="R625" s="175"/>
      <c r="S625" s="11"/>
      <c r="T625" s="175"/>
      <c r="U625" s="11"/>
      <c r="V625" s="11"/>
      <c r="W625" s="11"/>
      <c r="X625" s="11"/>
    </row>
    <row r="626" spans="18:24">
      <c r="R626" s="175"/>
      <c r="S626" s="11"/>
      <c r="T626" s="175"/>
      <c r="U626" s="11"/>
      <c r="V626" s="11"/>
      <c r="W626" s="11"/>
      <c r="X626" s="11"/>
    </row>
    <row r="627" spans="18:24">
      <c r="R627" s="175"/>
      <c r="S627" s="11"/>
      <c r="T627" s="175"/>
      <c r="U627" s="11"/>
      <c r="V627" s="11"/>
      <c r="W627" s="11"/>
      <c r="X627" s="11"/>
    </row>
    <row r="628" spans="18:24">
      <c r="R628" s="175"/>
      <c r="S628" s="11"/>
      <c r="T628" s="175"/>
      <c r="U628" s="11"/>
      <c r="V628" s="11"/>
      <c r="W628" s="11"/>
      <c r="X628" s="11"/>
    </row>
    <row r="629" spans="18:24">
      <c r="R629" s="175"/>
      <c r="S629" s="11"/>
      <c r="T629" s="175"/>
      <c r="U629" s="11"/>
      <c r="V629" s="11"/>
      <c r="W629" s="11"/>
      <c r="X629" s="11"/>
    </row>
    <row r="630" spans="18:24">
      <c r="R630" s="175"/>
      <c r="S630" s="11"/>
      <c r="T630" s="175"/>
      <c r="U630" s="11"/>
      <c r="V630" s="11"/>
      <c r="W630" s="11"/>
      <c r="X630" s="11"/>
    </row>
    <row r="631" spans="18:24">
      <c r="R631" s="175"/>
      <c r="S631" s="11"/>
      <c r="T631" s="175"/>
      <c r="U631" s="11"/>
      <c r="V631" s="11"/>
      <c r="W631" s="11"/>
      <c r="X631" s="11"/>
    </row>
    <row r="632" spans="18:24">
      <c r="R632" s="175"/>
      <c r="S632" s="11"/>
      <c r="T632" s="175"/>
      <c r="U632" s="11"/>
      <c r="V632" s="11"/>
      <c r="W632" s="11"/>
      <c r="X632" s="11"/>
    </row>
    <row r="633" spans="18:24">
      <c r="R633" s="175"/>
      <c r="S633" s="11"/>
      <c r="T633" s="175"/>
      <c r="U633" s="11"/>
      <c r="V633" s="11"/>
      <c r="W633" s="11"/>
      <c r="X633" s="11"/>
    </row>
    <row r="634" spans="18:24">
      <c r="R634" s="175"/>
      <c r="S634" s="11"/>
      <c r="T634" s="175"/>
      <c r="U634" s="11"/>
      <c r="V634" s="11"/>
      <c r="W634" s="11"/>
      <c r="X634" s="11"/>
    </row>
    <row r="635" spans="18:24">
      <c r="R635" s="175"/>
      <c r="S635" s="11"/>
      <c r="T635" s="175"/>
      <c r="U635" s="11"/>
      <c r="V635" s="11"/>
      <c r="W635" s="11"/>
      <c r="X635" s="11"/>
    </row>
    <row r="636" spans="18:24">
      <c r="R636" s="175"/>
      <c r="S636" s="11"/>
      <c r="T636" s="175"/>
      <c r="U636" s="11"/>
      <c r="V636" s="11"/>
      <c r="W636" s="11"/>
      <c r="X636" s="11"/>
    </row>
    <row r="637" spans="18:24">
      <c r="R637" s="175"/>
      <c r="S637" s="11"/>
      <c r="T637" s="175"/>
      <c r="U637" s="11"/>
      <c r="V637" s="11"/>
      <c r="W637" s="11"/>
      <c r="X637" s="11"/>
    </row>
    <row r="638" spans="18:24">
      <c r="R638" s="175"/>
      <c r="S638" s="11"/>
      <c r="T638" s="175"/>
      <c r="U638" s="11"/>
      <c r="V638" s="11"/>
      <c r="W638" s="11"/>
      <c r="X638" s="11"/>
    </row>
    <row r="639" spans="18:24">
      <c r="R639" s="175"/>
      <c r="S639" s="11"/>
      <c r="T639" s="175"/>
      <c r="U639" s="11"/>
      <c r="V639" s="11"/>
      <c r="W639" s="11"/>
      <c r="X639" s="11"/>
    </row>
    <row r="640" spans="18:24">
      <c r="R640" s="175"/>
      <c r="S640" s="11"/>
      <c r="T640" s="175"/>
      <c r="U640" s="11"/>
      <c r="V640" s="11"/>
      <c r="W640" s="11"/>
      <c r="X640" s="11"/>
    </row>
    <row r="641" spans="18:24">
      <c r="R641" s="175"/>
      <c r="S641" s="11"/>
      <c r="T641" s="175"/>
      <c r="U641" s="11"/>
      <c r="V641" s="11"/>
      <c r="W641" s="11"/>
      <c r="X641" s="11"/>
    </row>
    <row r="642" spans="18:24">
      <c r="R642" s="175"/>
      <c r="S642" s="11"/>
      <c r="T642" s="175"/>
      <c r="U642" s="11"/>
      <c r="V642" s="11"/>
      <c r="W642" s="11"/>
      <c r="X642" s="11"/>
    </row>
    <row r="643" spans="18:24">
      <c r="R643" s="175"/>
      <c r="S643" s="11"/>
      <c r="T643" s="175"/>
      <c r="U643" s="11"/>
      <c r="V643" s="11"/>
      <c r="W643" s="11"/>
      <c r="X643" s="11"/>
    </row>
    <row r="644" spans="18:24">
      <c r="R644" s="175"/>
      <c r="S644" s="11"/>
      <c r="T644" s="175"/>
      <c r="U644" s="11"/>
      <c r="V644" s="11"/>
      <c r="W644" s="11"/>
      <c r="X644" s="11"/>
    </row>
    <row r="645" spans="18:24">
      <c r="R645" s="175"/>
      <c r="S645" s="11"/>
      <c r="T645" s="175"/>
      <c r="U645" s="11"/>
      <c r="V645" s="11"/>
      <c r="W645" s="11"/>
      <c r="X645" s="11"/>
    </row>
    <row r="646" spans="18:24">
      <c r="R646" s="175"/>
      <c r="S646" s="11"/>
      <c r="T646" s="175"/>
      <c r="U646" s="11"/>
      <c r="V646" s="11"/>
      <c r="W646" s="11"/>
      <c r="X646" s="11"/>
    </row>
    <row r="647" spans="18:24">
      <c r="R647" s="175"/>
      <c r="S647" s="11"/>
      <c r="T647" s="175"/>
      <c r="U647" s="11"/>
      <c r="V647" s="11"/>
      <c r="W647" s="11"/>
      <c r="X647" s="11"/>
    </row>
    <row r="648" spans="18:24">
      <c r="R648" s="175"/>
      <c r="S648" s="11"/>
      <c r="T648" s="175"/>
      <c r="U648" s="11"/>
      <c r="V648" s="11"/>
      <c r="W648" s="11"/>
      <c r="X648" s="11"/>
    </row>
    <row r="649" spans="18:24">
      <c r="R649" s="175"/>
      <c r="S649" s="11"/>
      <c r="T649" s="175"/>
      <c r="U649" s="11"/>
      <c r="V649" s="11"/>
      <c r="W649" s="11"/>
      <c r="X649" s="11"/>
    </row>
    <row r="650" spans="18:24">
      <c r="R650" s="175"/>
      <c r="S650" s="11"/>
      <c r="T650" s="175"/>
      <c r="U650" s="11"/>
      <c r="V650" s="11"/>
      <c r="W650" s="11"/>
      <c r="X650" s="11"/>
    </row>
    <row r="651" spans="18:24">
      <c r="R651" s="175"/>
      <c r="S651" s="11"/>
      <c r="T651" s="175"/>
      <c r="U651" s="11"/>
      <c r="V651" s="11"/>
      <c r="W651" s="11"/>
      <c r="X651" s="11"/>
    </row>
    <row r="652" spans="18:24">
      <c r="R652" s="175"/>
      <c r="S652" s="11"/>
      <c r="T652" s="175"/>
      <c r="U652" s="11"/>
      <c r="V652" s="11"/>
      <c r="W652" s="11"/>
      <c r="X652" s="11"/>
    </row>
    <row r="653" spans="18:24">
      <c r="R653" s="175"/>
      <c r="S653" s="11"/>
      <c r="T653" s="175"/>
      <c r="U653" s="11"/>
      <c r="V653" s="11"/>
      <c r="W653" s="11"/>
      <c r="X653" s="11"/>
    </row>
    <row r="654" spans="18:24">
      <c r="R654" s="175"/>
      <c r="S654" s="11"/>
      <c r="T654" s="175"/>
      <c r="U654" s="11"/>
      <c r="V654" s="11"/>
      <c r="W654" s="11"/>
      <c r="X654" s="11"/>
    </row>
    <row r="655" spans="18:24">
      <c r="R655" s="175"/>
      <c r="S655" s="11"/>
      <c r="T655" s="175"/>
      <c r="U655" s="11"/>
      <c r="V655" s="11"/>
      <c r="W655" s="11"/>
      <c r="X655" s="11"/>
    </row>
    <row r="656" spans="18:24">
      <c r="R656" s="175"/>
      <c r="S656" s="11"/>
      <c r="T656" s="175"/>
      <c r="U656" s="11"/>
      <c r="V656" s="11"/>
      <c r="W656" s="11"/>
      <c r="X656" s="11"/>
    </row>
    <row r="657" spans="18:24">
      <c r="R657" s="175"/>
      <c r="S657" s="11"/>
      <c r="T657" s="175"/>
      <c r="U657" s="11"/>
      <c r="V657" s="11"/>
      <c r="W657" s="11"/>
      <c r="X657" s="11"/>
    </row>
    <row r="658" spans="18:24">
      <c r="R658" s="175"/>
      <c r="S658" s="11"/>
      <c r="T658" s="175"/>
      <c r="U658" s="11"/>
      <c r="V658" s="11"/>
      <c r="W658" s="11"/>
      <c r="X658" s="11"/>
    </row>
    <row r="659" spans="18:24">
      <c r="R659" s="175"/>
      <c r="S659" s="11"/>
      <c r="T659" s="175"/>
      <c r="U659" s="11"/>
      <c r="V659" s="11"/>
      <c r="W659" s="11"/>
      <c r="X659" s="11"/>
    </row>
    <row r="660" spans="18:24">
      <c r="R660" s="175"/>
      <c r="S660" s="11"/>
      <c r="T660" s="175"/>
      <c r="U660" s="11"/>
      <c r="V660" s="11"/>
      <c r="W660" s="11"/>
      <c r="X660" s="11"/>
    </row>
    <row r="661" spans="18:24">
      <c r="R661" s="175"/>
      <c r="S661" s="11"/>
      <c r="T661" s="175"/>
      <c r="U661" s="11"/>
      <c r="V661" s="11"/>
      <c r="W661" s="11"/>
      <c r="X661" s="11"/>
    </row>
    <row r="662" spans="18:24">
      <c r="R662" s="175"/>
      <c r="S662" s="11"/>
      <c r="T662" s="175"/>
      <c r="U662" s="11"/>
      <c r="V662" s="11"/>
      <c r="W662" s="11"/>
      <c r="X662" s="11"/>
    </row>
    <row r="663" spans="18:24">
      <c r="R663" s="175"/>
      <c r="S663" s="11"/>
      <c r="T663" s="175"/>
      <c r="U663" s="11"/>
      <c r="V663" s="11"/>
      <c r="W663" s="11"/>
      <c r="X663" s="11"/>
    </row>
    <row r="664" spans="18:24">
      <c r="R664" s="175"/>
      <c r="S664" s="11"/>
      <c r="T664" s="175"/>
      <c r="U664" s="11"/>
      <c r="V664" s="11"/>
      <c r="W664" s="11"/>
      <c r="X664" s="11"/>
    </row>
    <row r="665" spans="18:24">
      <c r="R665" s="175"/>
      <c r="S665" s="11"/>
      <c r="T665" s="175"/>
      <c r="U665" s="11"/>
      <c r="V665" s="11"/>
      <c r="W665" s="11"/>
      <c r="X665" s="11"/>
    </row>
    <row r="666" spans="18:24">
      <c r="R666" s="175"/>
      <c r="S666" s="11"/>
      <c r="T666" s="175"/>
      <c r="U666" s="11"/>
      <c r="V666" s="11"/>
      <c r="W666" s="11"/>
      <c r="X666" s="11"/>
    </row>
    <row r="667" spans="18:24">
      <c r="R667" s="175"/>
      <c r="S667" s="11"/>
      <c r="T667" s="175"/>
      <c r="U667" s="11"/>
      <c r="V667" s="11"/>
      <c r="W667" s="11"/>
      <c r="X667" s="11"/>
    </row>
    <row r="668" spans="18:24">
      <c r="R668" s="175"/>
      <c r="S668" s="11"/>
      <c r="T668" s="175"/>
      <c r="U668" s="11"/>
      <c r="V668" s="11"/>
      <c r="W668" s="11"/>
      <c r="X668" s="11"/>
    </row>
    <row r="669" spans="18:24">
      <c r="R669" s="175"/>
      <c r="S669" s="11"/>
      <c r="T669" s="175"/>
      <c r="U669" s="11"/>
      <c r="V669" s="11"/>
      <c r="W669" s="11"/>
      <c r="X669" s="11"/>
    </row>
    <row r="670" spans="18:24">
      <c r="R670" s="175"/>
      <c r="S670" s="11"/>
      <c r="T670" s="175"/>
      <c r="U670" s="11"/>
      <c r="V670" s="11"/>
      <c r="W670" s="11"/>
      <c r="X670" s="11"/>
    </row>
    <row r="671" spans="18:24">
      <c r="R671" s="175"/>
      <c r="S671" s="11"/>
      <c r="T671" s="175"/>
      <c r="U671" s="11"/>
      <c r="V671" s="11"/>
      <c r="W671" s="11"/>
      <c r="X671" s="11"/>
    </row>
    <row r="672" spans="18:24">
      <c r="R672" s="175"/>
      <c r="S672" s="11"/>
      <c r="T672" s="175"/>
      <c r="U672" s="11"/>
      <c r="V672" s="11"/>
      <c r="W672" s="11"/>
      <c r="X672" s="11"/>
    </row>
    <row r="673" spans="18:24">
      <c r="R673" s="175"/>
      <c r="S673" s="11"/>
      <c r="T673" s="175"/>
      <c r="U673" s="11"/>
      <c r="V673" s="11"/>
      <c r="W673" s="11"/>
      <c r="X673" s="11"/>
    </row>
    <row r="674" spans="18:24">
      <c r="R674" s="175"/>
      <c r="S674" s="11"/>
      <c r="T674" s="175"/>
      <c r="U674" s="11"/>
      <c r="V674" s="11"/>
      <c r="W674" s="11"/>
      <c r="X674" s="11"/>
    </row>
    <row r="675" spans="18:24">
      <c r="R675" s="175"/>
      <c r="S675" s="11"/>
      <c r="T675" s="175"/>
      <c r="U675" s="11"/>
      <c r="V675" s="11"/>
      <c r="W675" s="11"/>
      <c r="X675" s="11"/>
    </row>
    <row r="676" spans="18:24">
      <c r="R676" s="175"/>
      <c r="S676" s="11"/>
      <c r="T676" s="175"/>
      <c r="U676" s="11"/>
      <c r="V676" s="11"/>
      <c r="W676" s="11"/>
      <c r="X676" s="11"/>
    </row>
    <row r="677" spans="18:24">
      <c r="R677" s="175"/>
      <c r="S677" s="11"/>
      <c r="T677" s="175"/>
      <c r="U677" s="11"/>
      <c r="V677" s="11"/>
      <c r="W677" s="11"/>
      <c r="X677" s="11"/>
    </row>
    <row r="678" spans="18:24">
      <c r="R678" s="175"/>
      <c r="S678" s="11"/>
      <c r="T678" s="175"/>
      <c r="U678" s="11"/>
      <c r="V678" s="11"/>
      <c r="W678" s="11"/>
      <c r="X678" s="11"/>
    </row>
    <row r="679" spans="18:24">
      <c r="R679" s="175"/>
      <c r="S679" s="11"/>
      <c r="T679" s="175"/>
      <c r="U679" s="11"/>
      <c r="V679" s="11"/>
      <c r="W679" s="11"/>
      <c r="X679" s="11"/>
    </row>
    <row r="680" spans="18:24">
      <c r="R680" s="175"/>
      <c r="S680" s="11"/>
      <c r="T680" s="175"/>
      <c r="U680" s="11"/>
      <c r="V680" s="11"/>
      <c r="W680" s="11"/>
      <c r="X680" s="11"/>
    </row>
    <row r="681" spans="18:24">
      <c r="R681" s="175"/>
      <c r="S681" s="11"/>
      <c r="T681" s="175"/>
      <c r="U681" s="11"/>
      <c r="V681" s="11"/>
      <c r="W681" s="11"/>
      <c r="X681" s="11"/>
    </row>
    <row r="682" spans="18:24">
      <c r="R682" s="175"/>
      <c r="S682" s="11"/>
      <c r="T682" s="175"/>
      <c r="U682" s="11"/>
      <c r="V682" s="11"/>
      <c r="W682" s="11"/>
      <c r="X682" s="11"/>
    </row>
    <row r="683" spans="18:24">
      <c r="R683" s="175"/>
      <c r="S683" s="11"/>
      <c r="T683" s="175"/>
      <c r="U683" s="11"/>
      <c r="V683" s="11"/>
      <c r="W683" s="11"/>
      <c r="X683" s="11"/>
    </row>
    <row r="684" spans="18:24">
      <c r="R684" s="175"/>
      <c r="S684" s="11"/>
      <c r="T684" s="175"/>
      <c r="U684" s="11"/>
      <c r="V684" s="11"/>
      <c r="W684" s="11"/>
      <c r="X684" s="11"/>
    </row>
    <row r="685" spans="18:24">
      <c r="R685" s="175"/>
      <c r="S685" s="11"/>
      <c r="T685" s="175"/>
      <c r="U685" s="11"/>
      <c r="V685" s="11"/>
      <c r="W685" s="11"/>
      <c r="X685" s="11"/>
    </row>
    <row r="686" spans="18:24">
      <c r="R686" s="175"/>
      <c r="S686" s="11"/>
      <c r="T686" s="175"/>
      <c r="U686" s="11"/>
      <c r="V686" s="11"/>
      <c r="W686" s="11"/>
      <c r="X686" s="11"/>
    </row>
    <row r="687" spans="18:24">
      <c r="R687" s="175"/>
      <c r="S687" s="11"/>
      <c r="T687" s="175"/>
      <c r="U687" s="11"/>
      <c r="V687" s="11"/>
      <c r="W687" s="11"/>
      <c r="X687" s="11"/>
    </row>
    <row r="688" spans="18:24">
      <c r="R688" s="175"/>
      <c r="S688" s="11"/>
      <c r="T688" s="175"/>
      <c r="U688" s="11"/>
      <c r="V688" s="11"/>
      <c r="W688" s="11"/>
      <c r="X688" s="11"/>
    </row>
    <row r="689" spans="18:24">
      <c r="R689" s="175"/>
      <c r="S689" s="11"/>
      <c r="T689" s="175"/>
      <c r="U689" s="11"/>
      <c r="V689" s="11"/>
      <c r="W689" s="11"/>
      <c r="X689" s="11"/>
    </row>
    <row r="690" spans="18:24">
      <c r="R690" s="175"/>
      <c r="S690" s="11"/>
      <c r="T690" s="175"/>
      <c r="U690" s="11"/>
      <c r="V690" s="11"/>
      <c r="W690" s="11"/>
      <c r="X690" s="11"/>
    </row>
    <row r="691" spans="18:24">
      <c r="R691" s="175"/>
      <c r="S691" s="11"/>
      <c r="T691" s="175"/>
      <c r="U691" s="11"/>
      <c r="V691" s="11"/>
      <c r="W691" s="11"/>
      <c r="X691" s="11"/>
    </row>
    <row r="692" spans="18:24">
      <c r="R692" s="175"/>
      <c r="S692" s="11"/>
      <c r="T692" s="175"/>
      <c r="U692" s="11"/>
      <c r="V692" s="11"/>
      <c r="W692" s="11"/>
      <c r="X692" s="11"/>
    </row>
    <row r="693" spans="18:24">
      <c r="R693" s="175"/>
      <c r="S693" s="11"/>
      <c r="T693" s="175"/>
      <c r="U693" s="11"/>
      <c r="V693" s="11"/>
      <c r="W693" s="11"/>
      <c r="X693" s="11"/>
    </row>
    <row r="694" spans="18:24">
      <c r="R694" s="175"/>
      <c r="S694" s="11"/>
      <c r="T694" s="175"/>
      <c r="U694" s="11"/>
      <c r="V694" s="11"/>
      <c r="W694" s="11"/>
      <c r="X694" s="11"/>
    </row>
    <row r="695" spans="18:24">
      <c r="R695" s="175"/>
      <c r="S695" s="11"/>
      <c r="T695" s="175"/>
      <c r="U695" s="11"/>
      <c r="V695" s="11"/>
      <c r="W695" s="11"/>
      <c r="X695" s="11"/>
    </row>
    <row r="696" spans="18:24">
      <c r="R696" s="175"/>
      <c r="S696" s="11"/>
      <c r="T696" s="175"/>
      <c r="U696" s="11"/>
      <c r="V696" s="11"/>
      <c r="W696" s="11"/>
      <c r="X696" s="11"/>
    </row>
    <row r="697" spans="18:24">
      <c r="R697" s="175"/>
      <c r="S697" s="11"/>
      <c r="T697" s="175"/>
      <c r="U697" s="11"/>
      <c r="V697" s="11"/>
      <c r="W697" s="11"/>
      <c r="X697" s="11"/>
    </row>
    <row r="698" spans="18:24">
      <c r="R698" s="175"/>
      <c r="S698" s="11"/>
      <c r="T698" s="175"/>
      <c r="U698" s="11"/>
      <c r="V698" s="11"/>
      <c r="W698" s="11"/>
      <c r="X698" s="11"/>
    </row>
    <row r="699" spans="18:24">
      <c r="R699" s="175"/>
      <c r="S699" s="11"/>
      <c r="T699" s="175"/>
      <c r="U699" s="11"/>
      <c r="V699" s="11"/>
      <c r="W699" s="11"/>
      <c r="X699" s="11"/>
    </row>
    <row r="700" spans="18:24">
      <c r="R700" s="175"/>
      <c r="S700" s="11"/>
      <c r="T700" s="175"/>
      <c r="U700" s="11"/>
      <c r="V700" s="11"/>
      <c r="W700" s="11"/>
      <c r="X700" s="11"/>
    </row>
    <row r="701" spans="18:24">
      <c r="R701" s="175"/>
      <c r="S701" s="11"/>
      <c r="T701" s="175"/>
      <c r="U701" s="11"/>
      <c r="V701" s="11"/>
      <c r="W701" s="11"/>
      <c r="X701" s="11"/>
    </row>
    <row r="702" spans="18:24">
      <c r="R702" s="175"/>
      <c r="S702" s="11"/>
      <c r="T702" s="175"/>
      <c r="U702" s="11"/>
      <c r="V702" s="11"/>
      <c r="W702" s="11"/>
      <c r="X702" s="11"/>
    </row>
    <row r="703" spans="18:24">
      <c r="R703" s="175"/>
      <c r="S703" s="11"/>
      <c r="T703" s="175"/>
      <c r="U703" s="11"/>
      <c r="V703" s="11"/>
      <c r="W703" s="11"/>
      <c r="X703" s="11"/>
    </row>
    <row r="704" spans="18:24">
      <c r="R704" s="175"/>
      <c r="S704" s="11"/>
      <c r="T704" s="175"/>
      <c r="U704" s="11"/>
      <c r="V704" s="11"/>
      <c r="W704" s="11"/>
      <c r="X704" s="11"/>
    </row>
    <row r="705" spans="18:24">
      <c r="R705" s="175"/>
      <c r="S705" s="11"/>
      <c r="T705" s="175"/>
      <c r="U705" s="11"/>
      <c r="V705" s="11"/>
      <c r="W705" s="11"/>
      <c r="X705" s="11"/>
    </row>
    <row r="706" spans="18:24">
      <c r="R706" s="175"/>
      <c r="S706" s="11"/>
      <c r="T706" s="175"/>
      <c r="U706" s="11"/>
      <c r="V706" s="11"/>
      <c r="W706" s="11"/>
      <c r="X706" s="11"/>
    </row>
    <row r="707" spans="18:24">
      <c r="R707" s="175"/>
      <c r="S707" s="11"/>
      <c r="T707" s="175"/>
      <c r="U707" s="11"/>
      <c r="V707" s="11"/>
      <c r="W707" s="11"/>
      <c r="X707" s="11"/>
    </row>
    <row r="708" spans="18:24">
      <c r="R708" s="175"/>
      <c r="S708" s="11"/>
      <c r="T708" s="175"/>
      <c r="U708" s="11"/>
      <c r="V708" s="11"/>
      <c r="W708" s="11"/>
      <c r="X708" s="11"/>
    </row>
    <row r="709" spans="18:24">
      <c r="R709" s="175"/>
      <c r="S709" s="11"/>
      <c r="T709" s="175"/>
      <c r="U709" s="11"/>
      <c r="V709" s="11"/>
      <c r="W709" s="11"/>
      <c r="X709" s="11"/>
    </row>
    <row r="710" spans="18:24">
      <c r="R710" s="175"/>
      <c r="S710" s="11"/>
      <c r="T710" s="175"/>
      <c r="U710" s="11"/>
      <c r="V710" s="11"/>
      <c r="W710" s="11"/>
      <c r="X710" s="11"/>
    </row>
    <row r="711" spans="18:24">
      <c r="R711" s="175"/>
      <c r="S711" s="11"/>
      <c r="T711" s="175"/>
      <c r="U711" s="11"/>
      <c r="V711" s="11"/>
      <c r="W711" s="11"/>
      <c r="X711" s="11"/>
    </row>
    <row r="712" spans="18:24">
      <c r="R712" s="175"/>
      <c r="S712" s="11"/>
      <c r="T712" s="175"/>
      <c r="U712" s="11"/>
      <c r="V712" s="11"/>
      <c r="W712" s="11"/>
      <c r="X712" s="11"/>
    </row>
    <row r="713" spans="18:24">
      <c r="R713" s="175"/>
      <c r="S713" s="11"/>
      <c r="T713" s="175"/>
      <c r="U713" s="11"/>
      <c r="V713" s="11"/>
      <c r="W713" s="11"/>
      <c r="X713" s="11"/>
    </row>
    <row r="714" spans="18:24">
      <c r="R714" s="175"/>
      <c r="S714" s="11"/>
      <c r="T714" s="175"/>
      <c r="U714" s="11"/>
      <c r="V714" s="11"/>
      <c r="W714" s="11"/>
      <c r="X714" s="11"/>
    </row>
    <row r="715" spans="18:24">
      <c r="R715" s="175"/>
      <c r="S715" s="11"/>
      <c r="T715" s="175"/>
      <c r="U715" s="11"/>
      <c r="V715" s="11"/>
      <c r="W715" s="11"/>
      <c r="X715" s="11"/>
    </row>
    <row r="716" spans="18:24">
      <c r="R716" s="175"/>
      <c r="S716" s="11"/>
      <c r="T716" s="175"/>
      <c r="U716" s="11"/>
      <c r="V716" s="11"/>
      <c r="W716" s="11"/>
      <c r="X716" s="11"/>
    </row>
    <row r="717" spans="18:24">
      <c r="R717" s="175"/>
      <c r="S717" s="11"/>
      <c r="T717" s="175"/>
      <c r="U717" s="11"/>
      <c r="V717" s="11"/>
      <c r="W717" s="11"/>
      <c r="X717" s="11"/>
    </row>
    <row r="718" spans="18:24">
      <c r="R718" s="175"/>
      <c r="S718" s="11"/>
      <c r="T718" s="175"/>
      <c r="U718" s="11"/>
      <c r="V718" s="11"/>
      <c r="W718" s="11"/>
      <c r="X718" s="11"/>
    </row>
    <row r="719" spans="18:24">
      <c r="R719" s="175"/>
      <c r="S719" s="11"/>
      <c r="T719" s="175"/>
      <c r="U719" s="11"/>
      <c r="V719" s="11"/>
      <c r="W719" s="11"/>
      <c r="X719" s="11"/>
    </row>
    <row r="720" spans="18:24">
      <c r="R720" s="175"/>
      <c r="S720" s="11"/>
      <c r="T720" s="175"/>
      <c r="U720" s="11"/>
      <c r="V720" s="11"/>
      <c r="W720" s="11"/>
      <c r="X720" s="11"/>
    </row>
    <row r="721" spans="18:24">
      <c r="R721" s="175"/>
      <c r="S721" s="11"/>
      <c r="T721" s="175"/>
      <c r="U721" s="11"/>
      <c r="V721" s="11"/>
      <c r="W721" s="11"/>
      <c r="X721" s="11"/>
    </row>
    <row r="722" spans="18:24">
      <c r="R722" s="175"/>
      <c r="S722" s="11"/>
      <c r="T722" s="175"/>
      <c r="U722" s="11"/>
      <c r="V722" s="11"/>
      <c r="W722" s="11"/>
      <c r="X722" s="11"/>
    </row>
    <row r="723" spans="18:24">
      <c r="R723" s="175"/>
      <c r="S723" s="11"/>
      <c r="T723" s="175"/>
      <c r="U723" s="11"/>
      <c r="V723" s="11"/>
      <c r="W723" s="11"/>
      <c r="X723" s="11"/>
    </row>
    <row r="724" spans="18:24">
      <c r="R724" s="175"/>
      <c r="S724" s="11"/>
      <c r="T724" s="175"/>
      <c r="U724" s="11"/>
      <c r="V724" s="11"/>
      <c r="W724" s="11"/>
      <c r="X724" s="11"/>
    </row>
    <row r="725" spans="18:24">
      <c r="R725" s="175"/>
      <c r="S725" s="11"/>
      <c r="T725" s="175"/>
      <c r="U725" s="11"/>
      <c r="V725" s="11"/>
      <c r="W725" s="11"/>
      <c r="X725" s="11"/>
    </row>
    <row r="726" spans="18:24">
      <c r="R726" s="175"/>
      <c r="S726" s="11"/>
      <c r="T726" s="175"/>
      <c r="U726" s="11"/>
      <c r="V726" s="11"/>
      <c r="W726" s="11"/>
      <c r="X726" s="11"/>
    </row>
    <row r="727" spans="18:24">
      <c r="R727" s="175"/>
      <c r="S727" s="11"/>
      <c r="T727" s="175"/>
      <c r="U727" s="11"/>
      <c r="V727" s="11"/>
      <c r="W727" s="11"/>
      <c r="X727" s="11"/>
    </row>
    <row r="728" spans="18:24">
      <c r="R728" s="175"/>
      <c r="S728" s="11"/>
      <c r="T728" s="175"/>
      <c r="U728" s="11"/>
      <c r="V728" s="11"/>
      <c r="W728" s="11"/>
      <c r="X728" s="11"/>
    </row>
    <row r="729" spans="18:24">
      <c r="R729" s="175"/>
      <c r="S729" s="11"/>
      <c r="T729" s="175"/>
      <c r="U729" s="11"/>
      <c r="V729" s="11"/>
      <c r="W729" s="11"/>
      <c r="X729" s="11"/>
    </row>
    <row r="730" spans="18:24">
      <c r="R730" s="175"/>
      <c r="S730" s="11"/>
      <c r="T730" s="175"/>
      <c r="U730" s="11"/>
      <c r="V730" s="11"/>
      <c r="W730" s="11"/>
      <c r="X730" s="11"/>
    </row>
    <row r="731" spans="18:24">
      <c r="R731" s="175"/>
      <c r="S731" s="11"/>
      <c r="T731" s="175"/>
      <c r="U731" s="11"/>
      <c r="V731" s="11"/>
      <c r="W731" s="11"/>
      <c r="X731" s="11"/>
    </row>
    <row r="732" spans="18:24">
      <c r="R732" s="175"/>
      <c r="S732" s="11"/>
      <c r="T732" s="175"/>
      <c r="U732" s="11"/>
      <c r="V732" s="11"/>
      <c r="W732" s="11"/>
      <c r="X732" s="11"/>
    </row>
    <row r="733" spans="18:24">
      <c r="R733" s="175"/>
      <c r="S733" s="11"/>
      <c r="T733" s="175"/>
      <c r="U733" s="11"/>
      <c r="V733" s="11"/>
      <c r="W733" s="11"/>
      <c r="X733" s="11"/>
    </row>
    <row r="734" spans="18:24">
      <c r="R734" s="175"/>
      <c r="S734" s="11"/>
      <c r="T734" s="175"/>
      <c r="U734" s="11"/>
      <c r="V734" s="11"/>
      <c r="W734" s="11"/>
      <c r="X734" s="11"/>
    </row>
    <row r="735" spans="18:24">
      <c r="R735" s="175"/>
      <c r="S735" s="11"/>
      <c r="T735" s="175"/>
      <c r="U735" s="11"/>
      <c r="V735" s="11"/>
      <c r="W735" s="11"/>
      <c r="X735" s="11"/>
    </row>
    <row r="736" spans="18:24">
      <c r="R736" s="175"/>
      <c r="S736" s="11"/>
      <c r="T736" s="175"/>
      <c r="U736" s="11"/>
      <c r="V736" s="11"/>
      <c r="W736" s="11"/>
      <c r="X736" s="11"/>
    </row>
    <row r="737" spans="18:24">
      <c r="R737" s="175"/>
      <c r="S737" s="11"/>
      <c r="T737" s="175"/>
      <c r="U737" s="11"/>
      <c r="V737" s="11"/>
      <c r="W737" s="11"/>
      <c r="X737" s="11"/>
    </row>
    <row r="738" spans="18:24">
      <c r="R738" s="175"/>
      <c r="S738" s="11"/>
      <c r="T738" s="175"/>
      <c r="U738" s="11"/>
      <c r="V738" s="11"/>
      <c r="W738" s="11"/>
      <c r="X738" s="11"/>
    </row>
    <row r="739" spans="18:24">
      <c r="R739" s="175"/>
      <c r="S739" s="11"/>
      <c r="T739" s="175"/>
      <c r="U739" s="11"/>
      <c r="V739" s="11"/>
      <c r="W739" s="11"/>
      <c r="X739" s="11"/>
    </row>
    <row r="740" spans="18:24">
      <c r="R740" s="175"/>
      <c r="S740" s="11"/>
      <c r="T740" s="175"/>
      <c r="U740" s="11"/>
      <c r="V740" s="11"/>
      <c r="W740" s="11"/>
      <c r="X740" s="11"/>
    </row>
    <row r="741" spans="18:24">
      <c r="R741" s="175"/>
      <c r="S741" s="11"/>
      <c r="T741" s="175"/>
      <c r="U741" s="11"/>
      <c r="V741" s="11"/>
      <c r="W741" s="11"/>
      <c r="X741" s="11"/>
    </row>
    <row r="742" spans="18:24">
      <c r="R742" s="175"/>
      <c r="S742" s="11"/>
      <c r="T742" s="175"/>
      <c r="U742" s="11"/>
      <c r="V742" s="11"/>
      <c r="W742" s="11"/>
      <c r="X742" s="11"/>
    </row>
    <row r="743" spans="18:24">
      <c r="R743" s="175"/>
      <c r="S743" s="11"/>
      <c r="T743" s="175"/>
      <c r="U743" s="11"/>
      <c r="V743" s="11"/>
      <c r="W743" s="11"/>
      <c r="X743" s="11"/>
    </row>
    <row r="744" spans="18:24">
      <c r="R744" s="175"/>
      <c r="S744" s="11"/>
      <c r="T744" s="175"/>
      <c r="U744" s="11"/>
      <c r="V744" s="11"/>
      <c r="W744" s="11"/>
      <c r="X744" s="11"/>
    </row>
    <row r="745" spans="18:24">
      <c r="R745" s="175"/>
      <c r="S745" s="11"/>
      <c r="T745" s="175"/>
      <c r="U745" s="11"/>
      <c r="V745" s="11"/>
      <c r="W745" s="11"/>
      <c r="X745" s="11"/>
    </row>
    <row r="746" spans="18:24">
      <c r="R746" s="175"/>
      <c r="S746" s="11"/>
      <c r="T746" s="175"/>
      <c r="U746" s="11"/>
      <c r="V746" s="11"/>
      <c r="W746" s="11"/>
      <c r="X746" s="11"/>
    </row>
    <row r="747" spans="18:24">
      <c r="R747" s="175"/>
      <c r="S747" s="11"/>
      <c r="T747" s="175"/>
      <c r="U747" s="11"/>
      <c r="V747" s="11"/>
      <c r="W747" s="11"/>
      <c r="X747" s="11"/>
    </row>
    <row r="748" spans="18:24">
      <c r="R748" s="175"/>
      <c r="S748" s="11"/>
      <c r="T748" s="175"/>
      <c r="U748" s="11"/>
      <c r="V748" s="11"/>
      <c r="W748" s="11"/>
      <c r="X748" s="11"/>
    </row>
    <row r="749" spans="18:24">
      <c r="R749" s="175"/>
      <c r="S749" s="11"/>
      <c r="T749" s="175"/>
      <c r="U749" s="11"/>
      <c r="V749" s="11"/>
      <c r="W749" s="11"/>
      <c r="X749" s="11"/>
    </row>
    <row r="750" spans="18:24">
      <c r="R750" s="175"/>
      <c r="S750" s="11"/>
      <c r="T750" s="175"/>
      <c r="U750" s="11"/>
      <c r="V750" s="11"/>
      <c r="W750" s="11"/>
      <c r="X750" s="11"/>
    </row>
    <row r="751" spans="18:24">
      <c r="R751" s="175"/>
      <c r="S751" s="11"/>
      <c r="T751" s="175"/>
      <c r="U751" s="11"/>
      <c r="V751" s="11"/>
      <c r="W751" s="11"/>
      <c r="X751" s="11"/>
    </row>
    <row r="752" spans="18:24">
      <c r="R752" s="175"/>
      <c r="S752" s="11"/>
      <c r="T752" s="175"/>
      <c r="U752" s="11"/>
      <c r="V752" s="11"/>
      <c r="W752" s="11"/>
      <c r="X752" s="11"/>
    </row>
    <row r="753" spans="18:24">
      <c r="R753" s="175"/>
      <c r="S753" s="11"/>
      <c r="T753" s="175"/>
      <c r="U753" s="11"/>
      <c r="V753" s="11"/>
      <c r="W753" s="11"/>
      <c r="X753" s="11"/>
    </row>
    <row r="754" spans="18:24">
      <c r="R754" s="175"/>
      <c r="S754" s="11"/>
      <c r="T754" s="175"/>
      <c r="U754" s="11"/>
      <c r="V754" s="11"/>
      <c r="W754" s="11"/>
      <c r="X754" s="11"/>
    </row>
    <row r="755" spans="18:24">
      <c r="R755" s="175"/>
      <c r="S755" s="11"/>
      <c r="T755" s="175"/>
      <c r="U755" s="11"/>
      <c r="V755" s="11"/>
      <c r="W755" s="11"/>
      <c r="X755" s="11"/>
    </row>
    <row r="756" spans="18:24">
      <c r="R756" s="175"/>
      <c r="S756" s="11"/>
      <c r="T756" s="175"/>
      <c r="U756" s="11"/>
      <c r="V756" s="11"/>
      <c r="W756" s="11"/>
      <c r="X756" s="11"/>
    </row>
    <row r="757" spans="18:24">
      <c r="R757" s="175"/>
      <c r="S757" s="11"/>
      <c r="T757" s="175"/>
      <c r="U757" s="11"/>
      <c r="V757" s="11"/>
      <c r="W757" s="11"/>
      <c r="X757" s="11"/>
    </row>
    <row r="758" spans="18:24">
      <c r="R758" s="175"/>
      <c r="S758" s="11"/>
      <c r="T758" s="175"/>
      <c r="U758" s="11"/>
      <c r="V758" s="11"/>
      <c r="W758" s="11"/>
      <c r="X758" s="11"/>
    </row>
    <row r="759" spans="18:24">
      <c r="R759" s="175"/>
      <c r="S759" s="11"/>
      <c r="T759" s="175"/>
      <c r="U759" s="11"/>
      <c r="V759" s="11"/>
      <c r="W759" s="11"/>
      <c r="X759" s="11"/>
    </row>
    <row r="760" spans="18:24">
      <c r="R760" s="175"/>
      <c r="S760" s="11"/>
      <c r="T760" s="175"/>
      <c r="U760" s="11"/>
      <c r="V760" s="11"/>
      <c r="W760" s="11"/>
      <c r="X760" s="11"/>
    </row>
    <row r="761" spans="18:24">
      <c r="R761" s="175"/>
      <c r="S761" s="11"/>
      <c r="T761" s="175"/>
      <c r="U761" s="11"/>
      <c r="V761" s="11"/>
      <c r="W761" s="11"/>
      <c r="X761" s="11"/>
    </row>
    <row r="762" spans="18:24">
      <c r="R762" s="175"/>
      <c r="S762" s="11"/>
      <c r="T762" s="175"/>
      <c r="U762" s="11"/>
      <c r="V762" s="11"/>
      <c r="W762" s="11"/>
      <c r="X762" s="11"/>
    </row>
    <row r="763" spans="18:24">
      <c r="R763" s="175"/>
      <c r="S763" s="11"/>
      <c r="T763" s="175"/>
      <c r="U763" s="11"/>
      <c r="V763" s="11"/>
      <c r="W763" s="11"/>
      <c r="X763" s="11"/>
    </row>
    <row r="764" spans="18:24">
      <c r="R764" s="175"/>
      <c r="S764" s="11"/>
      <c r="T764" s="175"/>
      <c r="U764" s="11"/>
      <c r="V764" s="11"/>
      <c r="W764" s="11"/>
      <c r="X764" s="11"/>
    </row>
    <row r="765" spans="18:24">
      <c r="R765" s="175"/>
      <c r="S765" s="11"/>
      <c r="T765" s="175"/>
      <c r="U765" s="11"/>
      <c r="V765" s="11"/>
      <c r="W765" s="11"/>
      <c r="X765" s="11"/>
    </row>
    <row r="766" spans="18:24">
      <c r="R766" s="175"/>
      <c r="S766" s="11"/>
      <c r="T766" s="175"/>
      <c r="U766" s="11"/>
      <c r="V766" s="11"/>
      <c r="W766" s="11"/>
      <c r="X766" s="11"/>
    </row>
    <row r="767" spans="18:24">
      <c r="R767" s="175"/>
      <c r="S767" s="11"/>
      <c r="T767" s="175"/>
      <c r="U767" s="11"/>
      <c r="V767" s="11"/>
      <c r="W767" s="11"/>
      <c r="X767" s="11"/>
    </row>
    <row r="768" spans="18:24">
      <c r="R768" s="175"/>
      <c r="S768" s="11"/>
      <c r="T768" s="175"/>
      <c r="U768" s="11"/>
      <c r="V768" s="11"/>
      <c r="W768" s="11"/>
      <c r="X768" s="11"/>
    </row>
    <row r="769" spans="18:24">
      <c r="R769" s="175"/>
      <c r="S769" s="11"/>
      <c r="T769" s="175"/>
      <c r="U769" s="11"/>
      <c r="V769" s="11"/>
      <c r="W769" s="11"/>
      <c r="X769" s="11"/>
    </row>
    <row r="770" spans="18:24">
      <c r="R770" s="175"/>
      <c r="S770" s="11"/>
      <c r="T770" s="175"/>
      <c r="U770" s="11"/>
      <c r="V770" s="11"/>
      <c r="W770" s="11"/>
      <c r="X770" s="11"/>
    </row>
    <row r="771" spans="18:24">
      <c r="R771" s="175"/>
      <c r="S771" s="11"/>
      <c r="T771" s="175"/>
      <c r="U771" s="11"/>
      <c r="V771" s="11"/>
      <c r="W771" s="11"/>
      <c r="X771" s="11"/>
    </row>
    <row r="772" spans="18:24">
      <c r="R772" s="175"/>
      <c r="S772" s="11"/>
      <c r="T772" s="175"/>
      <c r="U772" s="11"/>
      <c r="V772" s="11"/>
      <c r="W772" s="11"/>
      <c r="X772" s="11"/>
    </row>
    <row r="773" spans="18:24">
      <c r="R773" s="175"/>
      <c r="S773" s="11"/>
      <c r="T773" s="175"/>
      <c r="U773" s="11"/>
      <c r="V773" s="11"/>
      <c r="W773" s="11"/>
      <c r="X773" s="11"/>
    </row>
    <row r="774" spans="18:24">
      <c r="R774" s="175"/>
      <c r="S774" s="11"/>
      <c r="T774" s="175"/>
      <c r="U774" s="11"/>
      <c r="V774" s="11"/>
      <c r="W774" s="11"/>
      <c r="X774" s="11"/>
    </row>
    <row r="775" spans="18:24">
      <c r="R775" s="175"/>
      <c r="S775" s="11"/>
      <c r="T775" s="175"/>
      <c r="U775" s="11"/>
      <c r="V775" s="11"/>
      <c r="W775" s="11"/>
      <c r="X775" s="11"/>
    </row>
    <row r="776" spans="18:24">
      <c r="R776" s="175"/>
      <c r="S776" s="11"/>
      <c r="T776" s="175"/>
      <c r="U776" s="11"/>
      <c r="V776" s="11"/>
      <c r="W776" s="11"/>
      <c r="X776" s="11"/>
    </row>
    <row r="777" spans="18:24">
      <c r="R777" s="175"/>
      <c r="S777" s="11"/>
      <c r="T777" s="175"/>
      <c r="U777" s="11"/>
      <c r="V777" s="11"/>
      <c r="W777" s="11"/>
      <c r="X777" s="11"/>
    </row>
    <row r="778" spans="18:24">
      <c r="R778" s="175"/>
      <c r="S778" s="11"/>
      <c r="T778" s="175"/>
      <c r="U778" s="11"/>
      <c r="V778" s="11"/>
      <c r="W778" s="11"/>
      <c r="X778" s="11"/>
    </row>
    <row r="779" spans="18:24">
      <c r="R779" s="175"/>
      <c r="S779" s="11"/>
      <c r="T779" s="175"/>
      <c r="U779" s="11"/>
      <c r="V779" s="11"/>
      <c r="W779" s="11"/>
      <c r="X779" s="11"/>
    </row>
    <row r="780" spans="18:24">
      <c r="R780" s="175"/>
      <c r="S780" s="11"/>
      <c r="T780" s="175"/>
      <c r="U780" s="11"/>
      <c r="V780" s="11"/>
      <c r="W780" s="11"/>
      <c r="X780" s="11"/>
    </row>
    <row r="781" spans="18:24">
      <c r="R781" s="175"/>
      <c r="S781" s="11"/>
      <c r="T781" s="175"/>
      <c r="U781" s="11"/>
      <c r="V781" s="11"/>
      <c r="W781" s="11"/>
      <c r="X781" s="11"/>
    </row>
    <row r="782" spans="18:24">
      <c r="R782" s="175"/>
      <c r="S782" s="11"/>
      <c r="T782" s="175"/>
      <c r="U782" s="11"/>
      <c r="V782" s="11"/>
      <c r="W782" s="11"/>
      <c r="X782" s="11"/>
    </row>
    <row r="783" spans="18:24">
      <c r="R783" s="175"/>
      <c r="S783" s="11"/>
      <c r="T783" s="175"/>
      <c r="U783" s="11"/>
      <c r="V783" s="11"/>
      <c r="W783" s="11"/>
      <c r="X783" s="11"/>
    </row>
    <row r="784" spans="18:24">
      <c r="R784" s="175"/>
      <c r="S784" s="11"/>
      <c r="T784" s="175"/>
      <c r="U784" s="11"/>
      <c r="V784" s="11"/>
      <c r="W784" s="11"/>
      <c r="X784" s="11"/>
    </row>
    <row r="785" spans="18:24">
      <c r="R785" s="175"/>
      <c r="S785" s="11"/>
      <c r="T785" s="175"/>
      <c r="U785" s="11"/>
      <c r="V785" s="11"/>
      <c r="W785" s="11"/>
      <c r="X785" s="11"/>
    </row>
    <row r="786" spans="18:24">
      <c r="R786" s="175"/>
      <c r="S786" s="11"/>
      <c r="T786" s="175"/>
      <c r="U786" s="11"/>
      <c r="V786" s="11"/>
      <c r="W786" s="11"/>
      <c r="X786" s="11"/>
    </row>
    <row r="787" spans="18:24">
      <c r="R787" s="175"/>
      <c r="S787" s="11"/>
      <c r="T787" s="175"/>
      <c r="U787" s="11"/>
      <c r="V787" s="11"/>
      <c r="W787" s="11"/>
      <c r="X787" s="11"/>
    </row>
    <row r="788" spans="18:24">
      <c r="R788" s="175"/>
      <c r="S788" s="11"/>
      <c r="T788" s="175"/>
      <c r="U788" s="11"/>
      <c r="V788" s="11"/>
      <c r="W788" s="11"/>
      <c r="X788" s="11"/>
    </row>
    <row r="789" spans="18:24">
      <c r="R789" s="175"/>
      <c r="S789" s="11"/>
      <c r="T789" s="175"/>
      <c r="U789" s="11"/>
      <c r="V789" s="11"/>
      <c r="W789" s="11"/>
      <c r="X789" s="11"/>
    </row>
    <row r="790" spans="18:24">
      <c r="R790" s="175"/>
      <c r="S790" s="11"/>
      <c r="T790" s="175"/>
      <c r="U790" s="11"/>
      <c r="V790" s="11"/>
      <c r="W790" s="11"/>
      <c r="X790" s="11"/>
    </row>
    <row r="791" spans="18:24">
      <c r="R791" s="175"/>
      <c r="S791" s="11"/>
      <c r="T791" s="175"/>
      <c r="U791" s="11"/>
      <c r="V791" s="11"/>
      <c r="W791" s="11"/>
      <c r="X791" s="11"/>
    </row>
    <row r="792" spans="18:24">
      <c r="R792" s="175"/>
      <c r="S792" s="11"/>
      <c r="T792" s="175"/>
      <c r="U792" s="11"/>
      <c r="V792" s="11"/>
      <c r="W792" s="11"/>
      <c r="X792" s="11"/>
    </row>
    <row r="793" spans="18:24">
      <c r="R793" s="175"/>
      <c r="S793" s="11"/>
      <c r="T793" s="175"/>
      <c r="U793" s="11"/>
      <c r="V793" s="11"/>
      <c r="W793" s="11"/>
      <c r="X793" s="11"/>
    </row>
    <row r="794" spans="18:24">
      <c r="R794" s="175"/>
      <c r="S794" s="11"/>
      <c r="T794" s="175"/>
      <c r="U794" s="11"/>
      <c r="V794" s="11"/>
      <c r="W794" s="11"/>
      <c r="X794" s="11"/>
    </row>
    <row r="795" spans="18:24">
      <c r="R795" s="175"/>
      <c r="S795" s="11"/>
      <c r="T795" s="175"/>
      <c r="U795" s="11"/>
      <c r="V795" s="11"/>
      <c r="W795" s="11"/>
      <c r="X795" s="11"/>
    </row>
    <row r="796" spans="18:24">
      <c r="R796" s="175"/>
      <c r="S796" s="11"/>
      <c r="T796" s="175"/>
      <c r="U796" s="11"/>
      <c r="V796" s="11"/>
      <c r="W796" s="11"/>
      <c r="X796" s="11"/>
    </row>
    <row r="797" spans="18:24">
      <c r="R797" s="175"/>
      <c r="S797" s="11"/>
      <c r="T797" s="175"/>
      <c r="U797" s="11"/>
      <c r="V797" s="11"/>
      <c r="W797" s="11"/>
      <c r="X797" s="11"/>
    </row>
    <row r="798" spans="18:24">
      <c r="R798" s="175"/>
      <c r="S798" s="11"/>
      <c r="T798" s="175"/>
      <c r="U798" s="11"/>
      <c r="V798" s="11"/>
      <c r="W798" s="11"/>
      <c r="X798" s="11"/>
    </row>
    <row r="799" spans="18:24">
      <c r="R799" s="175"/>
      <c r="S799" s="11"/>
      <c r="T799" s="175"/>
      <c r="U799" s="11"/>
      <c r="V799" s="11"/>
      <c r="W799" s="11"/>
      <c r="X799" s="11"/>
    </row>
    <row r="800" spans="18:24">
      <c r="R800" s="175"/>
      <c r="S800" s="11"/>
      <c r="T800" s="175"/>
      <c r="U800" s="11"/>
      <c r="V800" s="11"/>
      <c r="W800" s="11"/>
      <c r="X800" s="11"/>
    </row>
    <row r="801" spans="18:24">
      <c r="R801" s="175"/>
      <c r="S801" s="11"/>
      <c r="T801" s="175"/>
      <c r="U801" s="11"/>
      <c r="V801" s="11"/>
      <c r="W801" s="11"/>
      <c r="X801" s="11"/>
    </row>
    <row r="802" spans="18:24">
      <c r="R802" s="175"/>
      <c r="S802" s="11"/>
      <c r="T802" s="175"/>
      <c r="U802" s="11"/>
      <c r="V802" s="11"/>
      <c r="W802" s="11"/>
      <c r="X802" s="11"/>
    </row>
    <row r="803" spans="18:24">
      <c r="R803" s="175"/>
      <c r="S803" s="11"/>
      <c r="T803" s="175"/>
      <c r="U803" s="11"/>
      <c r="V803" s="11"/>
      <c r="W803" s="11"/>
      <c r="X803" s="11"/>
    </row>
    <row r="804" spans="18:24">
      <c r="R804" s="175"/>
      <c r="S804" s="11"/>
      <c r="T804" s="175"/>
      <c r="U804" s="11"/>
      <c r="V804" s="11"/>
      <c r="W804" s="11"/>
      <c r="X804" s="11"/>
    </row>
    <row r="805" spans="18:24">
      <c r="R805" s="175"/>
      <c r="S805" s="11"/>
      <c r="T805" s="175"/>
      <c r="U805" s="11"/>
      <c r="V805" s="11"/>
      <c r="W805" s="11"/>
      <c r="X805" s="11"/>
    </row>
    <row r="806" spans="18:24">
      <c r="R806" s="175"/>
      <c r="S806" s="11"/>
      <c r="T806" s="175"/>
      <c r="U806" s="11"/>
      <c r="V806" s="11"/>
      <c r="W806" s="11"/>
      <c r="X806" s="11"/>
    </row>
    <row r="807" spans="18:24">
      <c r="R807" s="175"/>
      <c r="S807" s="11"/>
      <c r="T807" s="175"/>
      <c r="U807" s="11"/>
      <c r="V807" s="11"/>
      <c r="W807" s="11"/>
      <c r="X807" s="11"/>
    </row>
    <row r="808" spans="18:24">
      <c r="R808" s="175"/>
      <c r="S808" s="11"/>
      <c r="T808" s="175"/>
      <c r="U808" s="11"/>
      <c r="V808" s="11"/>
      <c r="W808" s="11"/>
      <c r="X808" s="11"/>
    </row>
    <row r="809" spans="18:24">
      <c r="R809" s="175"/>
      <c r="S809" s="11"/>
      <c r="T809" s="175"/>
      <c r="U809" s="11"/>
      <c r="V809" s="11"/>
      <c r="W809" s="11"/>
      <c r="X809" s="11"/>
    </row>
    <row r="810" spans="18:24">
      <c r="R810" s="175"/>
      <c r="S810" s="11"/>
      <c r="T810" s="175"/>
      <c r="U810" s="11"/>
      <c r="V810" s="11"/>
      <c r="W810" s="11"/>
      <c r="X810" s="11"/>
    </row>
    <row r="811" spans="18:24">
      <c r="R811" s="175"/>
      <c r="S811" s="11"/>
      <c r="T811" s="175"/>
      <c r="U811" s="11"/>
      <c r="V811" s="11"/>
      <c r="W811" s="11"/>
      <c r="X811" s="11"/>
    </row>
    <row r="812" spans="18:24">
      <c r="R812" s="175"/>
      <c r="S812" s="11"/>
      <c r="T812" s="175"/>
      <c r="U812" s="11"/>
      <c r="V812" s="11"/>
      <c r="W812" s="11"/>
      <c r="X812" s="11"/>
    </row>
    <row r="813" spans="18:24">
      <c r="R813" s="175"/>
      <c r="S813" s="11"/>
      <c r="T813" s="175"/>
      <c r="U813" s="11"/>
      <c r="V813" s="11"/>
      <c r="W813" s="11"/>
      <c r="X813" s="11"/>
    </row>
    <row r="814" spans="18:24">
      <c r="R814" s="175"/>
      <c r="S814" s="11"/>
      <c r="T814" s="175"/>
      <c r="U814" s="11"/>
      <c r="V814" s="11"/>
      <c r="W814" s="11"/>
      <c r="X814" s="11"/>
    </row>
    <row r="815" spans="18:24">
      <c r="R815" s="175"/>
      <c r="S815" s="11"/>
      <c r="T815" s="175"/>
      <c r="U815" s="11"/>
      <c r="V815" s="11"/>
      <c r="W815" s="11"/>
      <c r="X815" s="11"/>
    </row>
    <row r="816" spans="18:24">
      <c r="R816" s="175"/>
      <c r="S816" s="11"/>
      <c r="T816" s="175"/>
      <c r="U816" s="11"/>
      <c r="V816" s="11"/>
      <c r="W816" s="11"/>
      <c r="X816" s="11"/>
    </row>
    <row r="817" spans="18:24">
      <c r="R817" s="175"/>
      <c r="S817" s="11"/>
      <c r="T817" s="175"/>
      <c r="U817" s="11"/>
      <c r="V817" s="11"/>
      <c r="W817" s="11"/>
      <c r="X817" s="11"/>
    </row>
    <row r="818" spans="18:24">
      <c r="R818" s="175"/>
      <c r="S818" s="11"/>
      <c r="T818" s="175"/>
      <c r="U818" s="11"/>
      <c r="V818" s="11"/>
      <c r="W818" s="11"/>
      <c r="X818" s="11"/>
    </row>
    <row r="819" spans="18:24">
      <c r="R819" s="175"/>
      <c r="S819" s="11"/>
      <c r="T819" s="175"/>
      <c r="U819" s="11"/>
      <c r="V819" s="11"/>
      <c r="W819" s="11"/>
      <c r="X819" s="11"/>
    </row>
    <row r="820" spans="18:24">
      <c r="R820" s="175"/>
      <c r="S820" s="11"/>
      <c r="T820" s="175"/>
      <c r="U820" s="11"/>
      <c r="V820" s="11"/>
      <c r="W820" s="11"/>
      <c r="X820" s="11"/>
    </row>
    <row r="821" spans="18:24">
      <c r="R821" s="175"/>
      <c r="S821" s="11"/>
      <c r="T821" s="175"/>
      <c r="U821" s="11"/>
      <c r="V821" s="11"/>
      <c r="W821" s="11"/>
      <c r="X821" s="11"/>
    </row>
    <row r="822" spans="18:24">
      <c r="R822" s="175"/>
      <c r="S822" s="11"/>
      <c r="T822" s="175"/>
      <c r="U822" s="11"/>
      <c r="V822" s="11"/>
      <c r="W822" s="11"/>
      <c r="X822" s="11"/>
    </row>
    <row r="823" spans="18:24">
      <c r="R823" s="175"/>
      <c r="S823" s="11"/>
      <c r="T823" s="175"/>
      <c r="U823" s="11"/>
      <c r="V823" s="11"/>
      <c r="W823" s="11"/>
      <c r="X823" s="11"/>
    </row>
    <row r="824" spans="18:24">
      <c r="R824" s="175"/>
      <c r="S824" s="11"/>
      <c r="T824" s="175"/>
      <c r="U824" s="11"/>
      <c r="V824" s="11"/>
      <c r="W824" s="11"/>
      <c r="X824" s="11"/>
    </row>
    <row r="825" spans="18:24">
      <c r="R825" s="175"/>
      <c r="S825" s="11"/>
      <c r="T825" s="175"/>
      <c r="U825" s="11"/>
      <c r="V825" s="11"/>
      <c r="W825" s="11"/>
      <c r="X825" s="11"/>
    </row>
    <row r="826" spans="18:24">
      <c r="R826" s="175"/>
      <c r="S826" s="11"/>
      <c r="T826" s="175"/>
      <c r="U826" s="11"/>
      <c r="V826" s="11"/>
      <c r="W826" s="11"/>
      <c r="X826" s="11"/>
    </row>
    <row r="827" spans="18:24">
      <c r="R827" s="175"/>
      <c r="S827" s="11"/>
      <c r="T827" s="175"/>
      <c r="U827" s="11"/>
      <c r="V827" s="11"/>
      <c r="W827" s="11"/>
      <c r="X827" s="11"/>
    </row>
    <row r="828" spans="18:24">
      <c r="R828" s="175"/>
      <c r="S828" s="11"/>
      <c r="T828" s="175"/>
      <c r="U828" s="11"/>
      <c r="V828" s="11"/>
      <c r="W828" s="11"/>
      <c r="X828" s="11"/>
    </row>
    <row r="829" spans="18:24">
      <c r="R829" s="175"/>
      <c r="S829" s="11"/>
      <c r="T829" s="175"/>
      <c r="U829" s="11"/>
      <c r="V829" s="11"/>
      <c r="W829" s="11"/>
      <c r="X829" s="11"/>
    </row>
    <row r="830" spans="18:24">
      <c r="R830" s="175"/>
      <c r="S830" s="11"/>
      <c r="T830" s="175"/>
      <c r="U830" s="11"/>
      <c r="V830" s="11"/>
      <c r="W830" s="11"/>
      <c r="X830" s="11"/>
    </row>
    <row r="831" spans="18:24">
      <c r="R831" s="175"/>
      <c r="S831" s="11"/>
      <c r="T831" s="175"/>
      <c r="U831" s="11"/>
      <c r="V831" s="11"/>
      <c r="W831" s="11"/>
      <c r="X831" s="11"/>
    </row>
    <row r="832" spans="18:24">
      <c r="R832" s="175"/>
      <c r="S832" s="11"/>
      <c r="T832" s="175"/>
      <c r="U832" s="11"/>
      <c r="V832" s="11"/>
      <c r="W832" s="11"/>
      <c r="X832" s="11"/>
    </row>
    <row r="833" spans="18:24">
      <c r="R833" s="175"/>
      <c r="S833" s="11"/>
      <c r="T833" s="175"/>
      <c r="U833" s="11"/>
      <c r="V833" s="11"/>
      <c r="W833" s="11"/>
      <c r="X833" s="11"/>
    </row>
    <row r="834" spans="18:24">
      <c r="R834" s="175"/>
      <c r="S834" s="11"/>
      <c r="T834" s="175"/>
      <c r="U834" s="11"/>
      <c r="V834" s="11"/>
      <c r="W834" s="11"/>
      <c r="X834" s="11"/>
    </row>
    <row r="835" spans="18:24">
      <c r="R835" s="175"/>
      <c r="S835" s="11"/>
      <c r="T835" s="175"/>
      <c r="U835" s="11"/>
      <c r="V835" s="11"/>
      <c r="W835" s="11"/>
      <c r="X835" s="11"/>
    </row>
    <row r="836" spans="18:24">
      <c r="R836" s="175"/>
      <c r="S836" s="11"/>
      <c r="T836" s="175"/>
      <c r="U836" s="11"/>
      <c r="V836" s="11"/>
      <c r="W836" s="11"/>
      <c r="X836" s="11"/>
    </row>
    <row r="837" spans="18:24">
      <c r="R837" s="175"/>
      <c r="S837" s="11"/>
      <c r="T837" s="175"/>
      <c r="U837" s="11"/>
      <c r="V837" s="11"/>
      <c r="W837" s="11"/>
      <c r="X837" s="11"/>
    </row>
    <row r="838" spans="18:24">
      <c r="R838" s="175"/>
      <c r="S838" s="11"/>
      <c r="T838" s="175"/>
      <c r="U838" s="11"/>
      <c r="V838" s="11"/>
      <c r="W838" s="11"/>
      <c r="X838" s="11"/>
    </row>
    <row r="839" spans="18:24">
      <c r="R839" s="175"/>
      <c r="S839" s="11"/>
      <c r="T839" s="175"/>
      <c r="U839" s="11"/>
      <c r="V839" s="11"/>
      <c r="W839" s="11"/>
      <c r="X839" s="11"/>
    </row>
    <row r="840" spans="18:24">
      <c r="R840" s="175"/>
      <c r="S840" s="11"/>
      <c r="T840" s="175"/>
      <c r="U840" s="11"/>
      <c r="V840" s="11"/>
      <c r="W840" s="11"/>
      <c r="X840" s="11"/>
    </row>
    <row r="841" spans="18:24">
      <c r="R841" s="175"/>
      <c r="S841" s="11"/>
      <c r="T841" s="175"/>
      <c r="U841" s="11"/>
      <c r="V841" s="11"/>
      <c r="W841" s="11"/>
      <c r="X841" s="11"/>
    </row>
    <row r="842" spans="18:24">
      <c r="R842" s="175"/>
      <c r="S842" s="11"/>
      <c r="T842" s="175"/>
      <c r="U842" s="11"/>
      <c r="V842" s="11"/>
      <c r="W842" s="11"/>
      <c r="X842" s="11"/>
    </row>
    <row r="843" spans="18:24">
      <c r="R843" s="175"/>
      <c r="S843" s="11"/>
      <c r="T843" s="175"/>
      <c r="U843" s="11"/>
      <c r="V843" s="11"/>
      <c r="W843" s="11"/>
      <c r="X843" s="11"/>
    </row>
    <row r="844" spans="18:24">
      <c r="R844" s="175"/>
      <c r="S844" s="11"/>
      <c r="T844" s="175"/>
      <c r="U844" s="11"/>
      <c r="V844" s="11"/>
      <c r="W844" s="11"/>
      <c r="X844" s="11"/>
    </row>
    <row r="845" spans="18:24">
      <c r="R845" s="175"/>
      <c r="S845" s="11"/>
      <c r="T845" s="175"/>
      <c r="U845" s="11"/>
      <c r="V845" s="11"/>
      <c r="W845" s="11"/>
      <c r="X845" s="11"/>
    </row>
    <row r="846" spans="18:24">
      <c r="R846" s="175"/>
      <c r="S846" s="11"/>
      <c r="T846" s="175"/>
      <c r="U846" s="11"/>
      <c r="V846" s="11"/>
      <c r="W846" s="11"/>
      <c r="X846" s="11"/>
    </row>
    <row r="847" spans="18:24">
      <c r="R847" s="175"/>
      <c r="S847" s="11"/>
      <c r="T847" s="175"/>
      <c r="U847" s="11"/>
      <c r="V847" s="11"/>
      <c r="W847" s="11"/>
      <c r="X847" s="11"/>
    </row>
    <row r="848" spans="18:24">
      <c r="R848" s="175"/>
      <c r="S848" s="11"/>
      <c r="T848" s="175"/>
      <c r="U848" s="11"/>
      <c r="V848" s="11"/>
      <c r="W848" s="11"/>
      <c r="X848" s="11"/>
    </row>
    <row r="849" spans="18:24">
      <c r="R849" s="175"/>
      <c r="S849" s="11"/>
      <c r="T849" s="175"/>
      <c r="U849" s="11"/>
      <c r="V849" s="11"/>
      <c r="W849" s="11"/>
      <c r="X849" s="11"/>
    </row>
    <row r="850" spans="18:24">
      <c r="R850" s="175"/>
      <c r="S850" s="11"/>
      <c r="T850" s="175"/>
      <c r="U850" s="11"/>
      <c r="V850" s="11"/>
      <c r="W850" s="11"/>
      <c r="X850" s="11"/>
    </row>
    <row r="851" spans="18:24">
      <c r="R851" s="175"/>
      <c r="S851" s="11"/>
      <c r="T851" s="175"/>
      <c r="U851" s="11"/>
      <c r="V851" s="11"/>
      <c r="W851" s="11"/>
      <c r="X851" s="11"/>
    </row>
    <row r="852" spans="18:24">
      <c r="R852" s="175"/>
      <c r="S852" s="11"/>
      <c r="T852" s="175"/>
      <c r="U852" s="11"/>
      <c r="V852" s="11"/>
      <c r="W852" s="11"/>
      <c r="X852" s="11"/>
    </row>
    <row r="853" spans="18:24">
      <c r="R853" s="175"/>
      <c r="S853" s="11"/>
      <c r="T853" s="175"/>
      <c r="U853" s="11"/>
      <c r="V853" s="11"/>
      <c r="W853" s="11"/>
      <c r="X853" s="11"/>
    </row>
    <row r="854" spans="18:24">
      <c r="R854" s="175"/>
      <c r="S854" s="11"/>
      <c r="T854" s="175"/>
      <c r="U854" s="11"/>
      <c r="V854" s="11"/>
      <c r="W854" s="11"/>
      <c r="X854" s="11"/>
    </row>
    <row r="855" spans="18:24">
      <c r="R855" s="175"/>
      <c r="S855" s="11"/>
      <c r="T855" s="175"/>
      <c r="U855" s="11"/>
      <c r="V855" s="11"/>
      <c r="W855" s="11"/>
      <c r="X855" s="11"/>
    </row>
    <row r="856" spans="18:24">
      <c r="R856" s="175"/>
      <c r="S856" s="11"/>
      <c r="T856" s="175"/>
      <c r="U856" s="11"/>
      <c r="V856" s="11"/>
      <c r="W856" s="11"/>
      <c r="X856" s="11"/>
    </row>
    <row r="857" spans="18:24">
      <c r="R857" s="175"/>
      <c r="S857" s="11"/>
      <c r="T857" s="175"/>
      <c r="U857" s="11"/>
      <c r="V857" s="11"/>
      <c r="W857" s="11"/>
      <c r="X857" s="11"/>
    </row>
    <row r="858" spans="18:24">
      <c r="R858" s="175"/>
      <c r="S858" s="11"/>
      <c r="T858" s="175"/>
      <c r="U858" s="11"/>
      <c r="V858" s="11"/>
      <c r="W858" s="11"/>
      <c r="X858" s="11"/>
    </row>
    <row r="859" spans="18:24">
      <c r="R859" s="175"/>
      <c r="S859" s="11"/>
      <c r="T859" s="175"/>
      <c r="U859" s="11"/>
      <c r="V859" s="11"/>
      <c r="W859" s="11"/>
      <c r="X859" s="11"/>
    </row>
    <row r="860" spans="18:24">
      <c r="R860" s="175"/>
      <c r="S860" s="11"/>
      <c r="T860" s="175"/>
      <c r="U860" s="11"/>
      <c r="V860" s="11"/>
      <c r="W860" s="11"/>
      <c r="X860" s="11"/>
    </row>
    <row r="861" spans="18:24">
      <c r="R861" s="175"/>
      <c r="S861" s="11"/>
      <c r="T861" s="175"/>
      <c r="U861" s="11"/>
      <c r="V861" s="11"/>
      <c r="W861" s="11"/>
      <c r="X861" s="11"/>
    </row>
    <row r="862" spans="18:24">
      <c r="R862" s="175"/>
      <c r="S862" s="11"/>
      <c r="T862" s="175"/>
      <c r="U862" s="11"/>
      <c r="V862" s="11"/>
      <c r="W862" s="11"/>
      <c r="X862" s="11"/>
    </row>
    <row r="863" spans="18:24">
      <c r="R863" s="175"/>
      <c r="S863" s="11"/>
      <c r="T863" s="175"/>
      <c r="U863" s="11"/>
      <c r="V863" s="11"/>
      <c r="W863" s="11"/>
      <c r="X863" s="11"/>
    </row>
    <row r="864" spans="18:24">
      <c r="R864" s="175"/>
      <c r="S864" s="11"/>
      <c r="T864" s="175"/>
      <c r="U864" s="11"/>
      <c r="V864" s="11"/>
      <c r="W864" s="11"/>
      <c r="X864" s="11"/>
    </row>
    <row r="865" spans="18:24">
      <c r="R865" s="175"/>
      <c r="S865" s="11"/>
      <c r="T865" s="175"/>
      <c r="U865" s="11"/>
      <c r="V865" s="11"/>
      <c r="W865" s="11"/>
      <c r="X865" s="11"/>
    </row>
    <row r="866" spans="18:24">
      <c r="R866" s="175"/>
      <c r="S866" s="11"/>
      <c r="T866" s="175"/>
      <c r="U866" s="11"/>
      <c r="V866" s="11"/>
      <c r="W866" s="11"/>
      <c r="X866" s="11"/>
    </row>
    <row r="867" spans="18:24">
      <c r="R867" s="175"/>
      <c r="S867" s="11"/>
      <c r="T867" s="175"/>
      <c r="U867" s="11"/>
      <c r="V867" s="11"/>
      <c r="W867" s="11"/>
      <c r="X867" s="11"/>
    </row>
    <row r="868" spans="18:24">
      <c r="R868" s="175"/>
      <c r="S868" s="11"/>
      <c r="T868" s="175"/>
      <c r="U868" s="11"/>
      <c r="V868" s="11"/>
      <c r="W868" s="11"/>
      <c r="X868" s="11"/>
    </row>
    <row r="869" spans="18:24">
      <c r="R869" s="175"/>
      <c r="S869" s="11"/>
      <c r="T869" s="175"/>
      <c r="U869" s="11"/>
      <c r="V869" s="11"/>
      <c r="W869" s="11"/>
      <c r="X869" s="11"/>
    </row>
    <row r="870" spans="18:24">
      <c r="R870" s="175"/>
      <c r="S870" s="11"/>
      <c r="T870" s="175"/>
      <c r="U870" s="11"/>
      <c r="V870" s="11"/>
      <c r="W870" s="11"/>
      <c r="X870" s="11"/>
    </row>
    <row r="871" spans="18:24">
      <c r="R871" s="175"/>
      <c r="S871" s="11"/>
      <c r="T871" s="175"/>
      <c r="U871" s="11"/>
      <c r="V871" s="11"/>
      <c r="W871" s="11"/>
      <c r="X871" s="11"/>
    </row>
    <row r="872" spans="18:24">
      <c r="R872" s="175"/>
      <c r="S872" s="11"/>
      <c r="T872" s="175"/>
      <c r="U872" s="11"/>
      <c r="V872" s="11"/>
      <c r="W872" s="11"/>
      <c r="X872" s="11"/>
    </row>
    <row r="873" spans="18:24">
      <c r="R873" s="175"/>
      <c r="S873" s="11"/>
      <c r="T873" s="175"/>
      <c r="U873" s="11"/>
      <c r="V873" s="11"/>
      <c r="W873" s="11"/>
      <c r="X873" s="11"/>
    </row>
    <row r="874" spans="18:24">
      <c r="R874" s="175"/>
      <c r="S874" s="11"/>
      <c r="T874" s="175"/>
      <c r="U874" s="11"/>
      <c r="V874" s="11"/>
      <c r="W874" s="11"/>
      <c r="X874" s="11"/>
    </row>
    <row r="875" spans="18:24">
      <c r="R875" s="175"/>
      <c r="S875" s="11"/>
      <c r="T875" s="175"/>
      <c r="U875" s="11"/>
      <c r="V875" s="11"/>
      <c r="W875" s="11"/>
      <c r="X875" s="11"/>
    </row>
    <row r="876" spans="18:24">
      <c r="R876" s="175"/>
      <c r="S876" s="11"/>
      <c r="T876" s="175"/>
      <c r="U876" s="11"/>
      <c r="V876" s="11"/>
      <c r="W876" s="11"/>
      <c r="X876" s="11"/>
    </row>
    <row r="877" spans="18:24">
      <c r="R877" s="175"/>
      <c r="S877" s="11"/>
      <c r="T877" s="175"/>
      <c r="U877" s="11"/>
      <c r="V877" s="11"/>
      <c r="W877" s="11"/>
      <c r="X877" s="11"/>
    </row>
    <row r="878" spans="18:24">
      <c r="R878" s="175"/>
      <c r="S878" s="11"/>
      <c r="T878" s="175"/>
      <c r="U878" s="11"/>
      <c r="V878" s="11"/>
      <c r="W878" s="11"/>
      <c r="X878" s="11"/>
    </row>
    <row r="879" spans="18:24">
      <c r="R879" s="175"/>
      <c r="S879" s="11"/>
      <c r="T879" s="175"/>
      <c r="U879" s="11"/>
      <c r="V879" s="11"/>
      <c r="W879" s="11"/>
      <c r="X879" s="11"/>
    </row>
    <row r="880" spans="18:24">
      <c r="R880" s="175"/>
      <c r="S880" s="11"/>
      <c r="T880" s="175"/>
      <c r="U880" s="11"/>
      <c r="V880" s="11"/>
      <c r="W880" s="11"/>
      <c r="X880" s="11"/>
    </row>
    <row r="881" spans="18:24">
      <c r="R881" s="175"/>
      <c r="S881" s="11"/>
      <c r="T881" s="175"/>
      <c r="U881" s="11"/>
      <c r="V881" s="11"/>
      <c r="W881" s="11"/>
      <c r="X881" s="11"/>
    </row>
    <row r="882" spans="18:24">
      <c r="R882" s="175"/>
      <c r="S882" s="11"/>
      <c r="T882" s="175"/>
      <c r="U882" s="11"/>
      <c r="V882" s="11"/>
      <c r="W882" s="11"/>
      <c r="X882" s="11"/>
    </row>
    <row r="883" spans="18:24">
      <c r="R883" s="175"/>
      <c r="S883" s="11"/>
      <c r="T883" s="175"/>
      <c r="U883" s="11"/>
      <c r="V883" s="11"/>
      <c r="W883" s="11"/>
      <c r="X883" s="11"/>
    </row>
    <row r="884" spans="18:24">
      <c r="R884" s="175"/>
      <c r="S884" s="11"/>
      <c r="T884" s="175"/>
      <c r="U884" s="11"/>
      <c r="V884" s="11"/>
      <c r="W884" s="11"/>
      <c r="X884" s="11"/>
    </row>
    <row r="885" spans="18:24">
      <c r="R885" s="175"/>
      <c r="S885" s="11"/>
      <c r="T885" s="175"/>
      <c r="U885" s="11"/>
      <c r="V885" s="11"/>
      <c r="W885" s="11"/>
      <c r="X885" s="11"/>
    </row>
    <row r="886" spans="18:24">
      <c r="R886" s="175"/>
      <c r="S886" s="11"/>
      <c r="T886" s="175"/>
      <c r="U886" s="11"/>
      <c r="V886" s="11"/>
      <c r="W886" s="11"/>
      <c r="X886" s="11"/>
    </row>
    <row r="887" spans="18:24">
      <c r="R887" s="175"/>
      <c r="S887" s="11"/>
      <c r="T887" s="175"/>
      <c r="U887" s="11"/>
      <c r="V887" s="11"/>
      <c r="W887" s="11"/>
      <c r="X887" s="11"/>
    </row>
    <row r="888" spans="18:24">
      <c r="R888" s="175"/>
      <c r="S888" s="11"/>
      <c r="T888" s="175"/>
      <c r="U888" s="11"/>
      <c r="V888" s="11"/>
      <c r="W888" s="11"/>
      <c r="X888" s="11"/>
    </row>
    <row r="889" spans="18:24">
      <c r="R889" s="175"/>
      <c r="S889" s="11"/>
      <c r="T889" s="175"/>
      <c r="U889" s="11"/>
      <c r="V889" s="11"/>
      <c r="W889" s="11"/>
      <c r="X889" s="11"/>
    </row>
    <row r="890" spans="18:24">
      <c r="R890" s="175"/>
      <c r="S890" s="11"/>
      <c r="T890" s="175"/>
      <c r="U890" s="11"/>
      <c r="V890" s="11"/>
      <c r="W890" s="11"/>
      <c r="X890" s="11"/>
    </row>
    <row r="891" spans="18:24">
      <c r="R891" s="175"/>
      <c r="S891" s="11"/>
      <c r="T891" s="175"/>
      <c r="U891" s="11"/>
      <c r="V891" s="11"/>
      <c r="W891" s="11"/>
      <c r="X891" s="11"/>
    </row>
    <row r="892" spans="18:24">
      <c r="R892" s="175"/>
      <c r="S892" s="11"/>
      <c r="T892" s="175"/>
      <c r="U892" s="11"/>
      <c r="V892" s="11"/>
      <c r="W892" s="11"/>
      <c r="X892" s="11"/>
    </row>
    <row r="893" spans="18:24">
      <c r="R893" s="175"/>
      <c r="S893" s="11"/>
      <c r="T893" s="175"/>
      <c r="U893" s="11"/>
      <c r="V893" s="11"/>
      <c r="W893" s="11"/>
      <c r="X893" s="11"/>
    </row>
    <row r="894" spans="18:24">
      <c r="R894" s="175"/>
      <c r="S894" s="11"/>
      <c r="T894" s="175"/>
      <c r="U894" s="11"/>
      <c r="V894" s="11"/>
      <c r="W894" s="11"/>
      <c r="X894" s="11"/>
    </row>
    <row r="895" spans="18:24">
      <c r="R895" s="175"/>
      <c r="S895" s="11"/>
      <c r="T895" s="175"/>
      <c r="U895" s="11"/>
      <c r="V895" s="11"/>
      <c r="W895" s="11"/>
      <c r="X895" s="11"/>
    </row>
    <row r="896" spans="18:24">
      <c r="R896" s="175"/>
      <c r="S896" s="11"/>
      <c r="T896" s="175"/>
      <c r="U896" s="11"/>
      <c r="V896" s="11"/>
      <c r="W896" s="11"/>
      <c r="X896" s="11"/>
    </row>
    <row r="897" spans="18:24">
      <c r="R897" s="175"/>
      <c r="S897" s="11"/>
      <c r="T897" s="175"/>
      <c r="U897" s="11"/>
      <c r="V897" s="11"/>
      <c r="W897" s="11"/>
      <c r="X897" s="11"/>
    </row>
    <row r="898" spans="18:24">
      <c r="R898" s="175"/>
      <c r="S898" s="11"/>
      <c r="T898" s="175"/>
      <c r="U898" s="11"/>
      <c r="V898" s="11"/>
      <c r="W898" s="11"/>
      <c r="X898" s="11"/>
    </row>
    <row r="899" spans="18:24">
      <c r="R899" s="175"/>
      <c r="S899" s="11"/>
      <c r="T899" s="175"/>
      <c r="U899" s="11"/>
      <c r="V899" s="11"/>
      <c r="W899" s="11"/>
      <c r="X899" s="11"/>
    </row>
    <row r="900" spans="18:24">
      <c r="R900" s="175"/>
      <c r="S900" s="11"/>
      <c r="T900" s="175"/>
      <c r="U900" s="11"/>
      <c r="V900" s="11"/>
      <c r="W900" s="11"/>
      <c r="X900" s="11"/>
    </row>
    <row r="901" spans="18:24">
      <c r="R901" s="175"/>
      <c r="S901" s="11"/>
      <c r="T901" s="175"/>
      <c r="U901" s="11"/>
      <c r="V901" s="11"/>
      <c r="W901" s="11"/>
      <c r="X901" s="11"/>
    </row>
    <row r="902" spans="18:24">
      <c r="R902" s="175"/>
      <c r="S902" s="11"/>
      <c r="T902" s="175"/>
      <c r="U902" s="11"/>
      <c r="V902" s="11"/>
      <c r="W902" s="11"/>
      <c r="X902" s="11"/>
    </row>
    <row r="903" spans="18:24">
      <c r="R903" s="175"/>
      <c r="S903" s="11"/>
      <c r="T903" s="175"/>
      <c r="U903" s="11"/>
      <c r="V903" s="11"/>
      <c r="W903" s="11"/>
      <c r="X903" s="11"/>
    </row>
    <row r="904" spans="18:24">
      <c r="R904" s="175"/>
      <c r="S904" s="11"/>
      <c r="T904" s="175"/>
      <c r="U904" s="11"/>
      <c r="V904" s="11"/>
      <c r="W904" s="11"/>
      <c r="X904" s="11"/>
    </row>
    <row r="905" spans="18:24">
      <c r="R905" s="175"/>
      <c r="S905" s="11"/>
      <c r="T905" s="175"/>
      <c r="U905" s="11"/>
      <c r="V905" s="11"/>
      <c r="W905" s="11"/>
      <c r="X905" s="11"/>
    </row>
    <row r="906" spans="18:24">
      <c r="R906" s="175"/>
      <c r="S906" s="11"/>
      <c r="T906" s="175"/>
      <c r="U906" s="11"/>
      <c r="V906" s="11"/>
      <c r="W906" s="11"/>
      <c r="X906" s="11"/>
    </row>
    <row r="907" spans="18:24">
      <c r="R907" s="175"/>
      <c r="S907" s="11"/>
      <c r="T907" s="175"/>
      <c r="U907" s="11"/>
      <c r="V907" s="11"/>
      <c r="W907" s="11"/>
      <c r="X907" s="11"/>
    </row>
    <row r="908" spans="18:24">
      <c r="R908" s="175"/>
      <c r="S908" s="11"/>
      <c r="T908" s="175"/>
      <c r="U908" s="11"/>
      <c r="V908" s="11"/>
      <c r="W908" s="11"/>
      <c r="X908" s="11"/>
    </row>
    <row r="909" spans="18:24">
      <c r="R909" s="175"/>
      <c r="S909" s="11"/>
      <c r="T909" s="175"/>
      <c r="U909" s="11"/>
      <c r="V909" s="11"/>
      <c r="W909" s="11"/>
      <c r="X909" s="11"/>
    </row>
    <row r="910" spans="18:24">
      <c r="R910" s="175"/>
      <c r="S910" s="11"/>
      <c r="T910" s="175"/>
      <c r="U910" s="11"/>
      <c r="V910" s="11"/>
      <c r="W910" s="11"/>
      <c r="X910" s="11"/>
    </row>
    <row r="911" spans="18:24">
      <c r="R911" s="175"/>
      <c r="S911" s="11"/>
      <c r="T911" s="175"/>
      <c r="U911" s="11"/>
      <c r="V911" s="11"/>
      <c r="W911" s="11"/>
      <c r="X911" s="11"/>
    </row>
    <row r="912" spans="18:24">
      <c r="R912" s="175"/>
      <c r="S912" s="11"/>
      <c r="T912" s="175"/>
      <c r="U912" s="11"/>
      <c r="V912" s="11"/>
      <c r="W912" s="11"/>
      <c r="X912" s="11"/>
    </row>
    <row r="913" spans="18:24">
      <c r="R913" s="175"/>
      <c r="S913" s="11"/>
      <c r="T913" s="175"/>
      <c r="U913" s="11"/>
      <c r="V913" s="11"/>
      <c r="W913" s="11"/>
      <c r="X913" s="11"/>
    </row>
    <row r="914" spans="18:24">
      <c r="R914" s="175"/>
      <c r="S914" s="11"/>
      <c r="T914" s="175"/>
      <c r="U914" s="11"/>
      <c r="V914" s="11"/>
      <c r="W914" s="11"/>
      <c r="X914" s="11"/>
    </row>
    <row r="915" spans="18:24">
      <c r="R915" s="175"/>
      <c r="S915" s="11"/>
      <c r="T915" s="175"/>
      <c r="U915" s="11"/>
      <c r="V915" s="11"/>
      <c r="W915" s="11"/>
      <c r="X915" s="11"/>
    </row>
    <row r="916" spans="18:24">
      <c r="R916" s="175"/>
      <c r="S916" s="11"/>
      <c r="T916" s="175"/>
      <c r="U916" s="11"/>
      <c r="V916" s="11"/>
      <c r="W916" s="11"/>
      <c r="X916" s="11"/>
    </row>
    <row r="917" spans="18:24">
      <c r="R917" s="175"/>
      <c r="S917" s="11"/>
      <c r="T917" s="175"/>
      <c r="U917" s="11"/>
      <c r="V917" s="11"/>
      <c r="W917" s="11"/>
      <c r="X917" s="11"/>
    </row>
    <row r="918" spans="18:24">
      <c r="R918" s="175"/>
      <c r="S918" s="11"/>
      <c r="T918" s="175"/>
      <c r="U918" s="11"/>
      <c r="V918" s="11"/>
      <c r="W918" s="11"/>
      <c r="X918" s="11"/>
    </row>
    <row r="919" spans="18:24">
      <c r="R919" s="175"/>
      <c r="S919" s="11"/>
      <c r="T919" s="175"/>
      <c r="U919" s="11"/>
      <c r="V919" s="11"/>
      <c r="W919" s="11"/>
      <c r="X919" s="11"/>
    </row>
    <row r="920" spans="18:24">
      <c r="R920" s="175"/>
      <c r="S920" s="11"/>
      <c r="T920" s="175"/>
      <c r="U920" s="11"/>
      <c r="V920" s="11"/>
      <c r="W920" s="11"/>
      <c r="X920" s="11"/>
    </row>
    <row r="921" spans="18:24">
      <c r="R921" s="175"/>
      <c r="S921" s="11"/>
      <c r="T921" s="175"/>
      <c r="U921" s="11"/>
      <c r="V921" s="11"/>
      <c r="W921" s="11"/>
      <c r="X921" s="11"/>
    </row>
    <row r="922" spans="18:24">
      <c r="R922" s="175"/>
      <c r="S922" s="11"/>
      <c r="T922" s="175"/>
      <c r="U922" s="11"/>
      <c r="V922" s="11"/>
      <c r="W922" s="11"/>
      <c r="X922" s="11"/>
    </row>
    <row r="923" spans="18:24">
      <c r="R923" s="175"/>
      <c r="S923" s="11"/>
      <c r="T923" s="175"/>
      <c r="U923" s="11"/>
      <c r="V923" s="11"/>
      <c r="W923" s="11"/>
      <c r="X923" s="11"/>
    </row>
    <row r="924" spans="18:24">
      <c r="R924" s="175"/>
      <c r="S924" s="11"/>
      <c r="T924" s="175"/>
      <c r="U924" s="11"/>
      <c r="V924" s="11"/>
      <c r="W924" s="11"/>
      <c r="X924" s="11"/>
    </row>
    <row r="925" spans="18:24">
      <c r="R925" s="175"/>
      <c r="S925" s="11"/>
      <c r="T925" s="175"/>
      <c r="U925" s="11"/>
      <c r="V925" s="11"/>
      <c r="W925" s="11"/>
      <c r="X925" s="11"/>
    </row>
    <row r="926" spans="18:24">
      <c r="R926" s="175"/>
      <c r="S926" s="11"/>
      <c r="T926" s="175"/>
      <c r="U926" s="11"/>
      <c r="V926" s="11"/>
      <c r="W926" s="11"/>
      <c r="X926" s="11"/>
    </row>
    <row r="927" spans="18:24">
      <c r="R927" s="175"/>
      <c r="S927" s="11"/>
      <c r="T927" s="175"/>
      <c r="U927" s="11"/>
      <c r="V927" s="11"/>
      <c r="W927" s="11"/>
      <c r="X927" s="11"/>
    </row>
    <row r="928" spans="18:24">
      <c r="R928" s="175"/>
      <c r="S928" s="11"/>
      <c r="T928" s="175"/>
      <c r="U928" s="11"/>
      <c r="V928" s="11"/>
      <c r="W928" s="11"/>
      <c r="X928" s="11"/>
    </row>
    <row r="929" spans="18:24">
      <c r="R929" s="175"/>
      <c r="S929" s="11"/>
      <c r="T929" s="175"/>
      <c r="U929" s="11"/>
      <c r="V929" s="11"/>
      <c r="W929" s="11"/>
      <c r="X929" s="11"/>
    </row>
    <row r="930" spans="18:24">
      <c r="R930" s="175"/>
      <c r="S930" s="11"/>
      <c r="T930" s="175"/>
      <c r="U930" s="11"/>
      <c r="V930" s="11"/>
      <c r="W930" s="11"/>
      <c r="X930" s="11"/>
    </row>
    <row r="931" spans="18:24">
      <c r="R931" s="175"/>
      <c r="S931" s="11"/>
      <c r="T931" s="175"/>
      <c r="U931" s="11"/>
      <c r="V931" s="11"/>
      <c r="W931" s="11"/>
      <c r="X931" s="11"/>
    </row>
    <row r="932" spans="18:24">
      <c r="R932" s="175"/>
      <c r="S932" s="11"/>
      <c r="T932" s="175"/>
      <c r="U932" s="11"/>
      <c r="V932" s="11"/>
      <c r="W932" s="11"/>
      <c r="X932" s="11"/>
    </row>
    <row r="933" spans="18:24">
      <c r="R933" s="175"/>
      <c r="S933" s="11"/>
      <c r="T933" s="175"/>
      <c r="U933" s="11"/>
      <c r="V933" s="11"/>
      <c r="W933" s="11"/>
      <c r="X933" s="11"/>
    </row>
    <row r="934" spans="18:24">
      <c r="R934" s="175"/>
      <c r="S934" s="11"/>
      <c r="T934" s="175"/>
      <c r="U934" s="11"/>
      <c r="V934" s="11"/>
      <c r="W934" s="11"/>
      <c r="X934" s="11"/>
    </row>
    <row r="935" spans="18:24">
      <c r="R935" s="175"/>
      <c r="S935" s="11"/>
      <c r="T935" s="175"/>
      <c r="U935" s="11"/>
      <c r="V935" s="11"/>
      <c r="W935" s="11"/>
      <c r="X935" s="11"/>
    </row>
    <row r="936" spans="18:24">
      <c r="R936" s="175"/>
      <c r="S936" s="11"/>
      <c r="T936" s="175"/>
      <c r="U936" s="11"/>
      <c r="V936" s="11"/>
      <c r="W936" s="11"/>
      <c r="X936" s="11"/>
    </row>
    <row r="937" spans="18:24">
      <c r="R937" s="175"/>
      <c r="S937" s="11"/>
      <c r="T937" s="175"/>
      <c r="U937" s="11"/>
      <c r="V937" s="11"/>
      <c r="W937" s="11"/>
      <c r="X937" s="11"/>
    </row>
    <row r="938" spans="18:24">
      <c r="R938" s="175"/>
      <c r="S938" s="11"/>
      <c r="T938" s="175"/>
      <c r="U938" s="11"/>
      <c r="V938" s="11"/>
      <c r="W938" s="11"/>
      <c r="X938" s="11"/>
    </row>
    <row r="939" spans="18:24">
      <c r="R939" s="175"/>
      <c r="S939" s="11"/>
      <c r="T939" s="175"/>
      <c r="U939" s="11"/>
      <c r="V939" s="11"/>
      <c r="W939" s="11"/>
      <c r="X939" s="11"/>
    </row>
    <row r="940" spans="18:24">
      <c r="R940" s="175"/>
      <c r="S940" s="11"/>
      <c r="T940" s="175"/>
      <c r="U940" s="11"/>
      <c r="V940" s="11"/>
      <c r="W940" s="11"/>
      <c r="X940" s="11"/>
    </row>
    <row r="941" spans="18:24">
      <c r="R941" s="175"/>
      <c r="S941" s="11"/>
      <c r="T941" s="175"/>
      <c r="U941" s="11"/>
      <c r="V941" s="11"/>
      <c r="W941" s="11"/>
      <c r="X941" s="11"/>
    </row>
    <row r="942" spans="18:24">
      <c r="R942" s="175"/>
      <c r="S942" s="11"/>
      <c r="T942" s="175"/>
      <c r="U942" s="11"/>
      <c r="V942" s="11"/>
      <c r="W942" s="11"/>
      <c r="X942" s="11"/>
    </row>
    <row r="943" spans="18:24">
      <c r="R943" s="175"/>
      <c r="S943" s="11"/>
      <c r="T943" s="175"/>
      <c r="U943" s="11"/>
      <c r="V943" s="11"/>
      <c r="W943" s="11"/>
      <c r="X943" s="11"/>
    </row>
    <row r="944" spans="18:24">
      <c r="R944" s="175"/>
      <c r="S944" s="11"/>
      <c r="T944" s="175"/>
      <c r="U944" s="11"/>
      <c r="V944" s="11"/>
      <c r="W944" s="11"/>
      <c r="X944" s="11"/>
    </row>
    <row r="945" spans="18:24">
      <c r="R945" s="175"/>
      <c r="S945" s="11"/>
      <c r="T945" s="175"/>
      <c r="U945" s="11"/>
      <c r="V945" s="11"/>
      <c r="W945" s="11"/>
      <c r="X945" s="11"/>
    </row>
    <row r="946" spans="18:24">
      <c r="R946" s="175"/>
      <c r="S946" s="11"/>
      <c r="T946" s="175"/>
      <c r="U946" s="11"/>
      <c r="V946" s="11"/>
      <c r="W946" s="11"/>
      <c r="X946" s="11"/>
    </row>
    <row r="947" spans="18:24">
      <c r="R947" s="175"/>
      <c r="S947" s="11"/>
      <c r="T947" s="175"/>
      <c r="U947" s="11"/>
      <c r="V947" s="11"/>
      <c r="W947" s="11"/>
      <c r="X947" s="11"/>
    </row>
    <row r="948" spans="18:24">
      <c r="R948" s="175"/>
      <c r="S948" s="11"/>
      <c r="T948" s="175"/>
      <c r="U948" s="11"/>
      <c r="V948" s="11"/>
      <c r="W948" s="11"/>
      <c r="X948" s="11"/>
    </row>
    <row r="949" spans="18:24">
      <c r="R949" s="175"/>
      <c r="S949" s="11"/>
      <c r="T949" s="175"/>
      <c r="U949" s="11"/>
      <c r="V949" s="11"/>
      <c r="W949" s="11"/>
      <c r="X949" s="11"/>
    </row>
    <row r="950" spans="18:24">
      <c r="R950" s="175"/>
      <c r="S950" s="11"/>
      <c r="T950" s="175"/>
      <c r="U950" s="11"/>
      <c r="V950" s="11"/>
      <c r="W950" s="11"/>
      <c r="X950" s="11"/>
    </row>
    <row r="951" spans="18:24">
      <c r="R951" s="175"/>
      <c r="S951" s="11"/>
      <c r="T951" s="175"/>
      <c r="U951" s="11"/>
      <c r="V951" s="11"/>
      <c r="W951" s="11"/>
      <c r="X951" s="11"/>
    </row>
    <row r="952" spans="18:24">
      <c r="R952" s="175"/>
      <c r="S952" s="11"/>
      <c r="T952" s="175"/>
      <c r="U952" s="11"/>
      <c r="V952" s="11"/>
      <c r="W952" s="11"/>
      <c r="X952" s="11"/>
    </row>
    <row r="953" spans="18:24">
      <c r="R953" s="175"/>
      <c r="S953" s="11"/>
      <c r="T953" s="175"/>
      <c r="U953" s="11"/>
      <c r="V953" s="11"/>
      <c r="W953" s="11"/>
      <c r="X953" s="11"/>
    </row>
    <row r="954" spans="18:24">
      <c r="R954" s="175"/>
      <c r="S954" s="11"/>
      <c r="T954" s="175"/>
      <c r="U954" s="11"/>
      <c r="V954" s="11"/>
      <c r="W954" s="11"/>
      <c r="X954" s="11"/>
    </row>
    <row r="955" spans="18:24">
      <c r="R955" s="175"/>
      <c r="S955" s="11"/>
      <c r="T955" s="175"/>
      <c r="U955" s="11"/>
      <c r="V955" s="11"/>
      <c r="W955" s="11"/>
      <c r="X955" s="11"/>
    </row>
    <row r="956" spans="18:24">
      <c r="R956" s="175"/>
      <c r="S956" s="11"/>
      <c r="T956" s="175"/>
      <c r="U956" s="11"/>
      <c r="V956" s="11"/>
      <c r="W956" s="11"/>
      <c r="X956" s="11"/>
    </row>
    <row r="957" spans="18:24">
      <c r="R957" s="175"/>
      <c r="S957" s="11"/>
      <c r="T957" s="175"/>
      <c r="U957" s="11"/>
      <c r="V957" s="11"/>
      <c r="W957" s="11"/>
      <c r="X957" s="11"/>
    </row>
    <row r="958" spans="18:24">
      <c r="R958" s="175"/>
      <c r="S958" s="11"/>
      <c r="T958" s="175"/>
      <c r="U958" s="11"/>
      <c r="V958" s="11"/>
      <c r="W958" s="11"/>
      <c r="X958" s="11"/>
    </row>
    <row r="959" spans="18:24">
      <c r="R959" s="175"/>
      <c r="S959" s="11"/>
      <c r="T959" s="175"/>
      <c r="U959" s="11"/>
      <c r="V959" s="11"/>
      <c r="W959" s="11"/>
      <c r="X959" s="11"/>
    </row>
    <row r="960" spans="18:24">
      <c r="R960" s="175"/>
      <c r="S960" s="11"/>
      <c r="T960" s="175"/>
      <c r="U960" s="11"/>
      <c r="V960" s="11"/>
      <c r="W960" s="11"/>
      <c r="X960" s="11"/>
    </row>
    <row r="961" spans="18:24">
      <c r="R961" s="175"/>
      <c r="S961" s="11"/>
      <c r="T961" s="175"/>
      <c r="U961" s="11"/>
      <c r="V961" s="11"/>
      <c r="W961" s="11"/>
      <c r="X961" s="11"/>
    </row>
    <row r="962" spans="18:24">
      <c r="R962" s="175"/>
      <c r="S962" s="11"/>
      <c r="T962" s="175"/>
      <c r="U962" s="11"/>
      <c r="V962" s="11"/>
      <c r="W962" s="11"/>
      <c r="X962" s="11"/>
    </row>
    <row r="963" spans="18:24">
      <c r="R963" s="175"/>
      <c r="S963" s="11"/>
      <c r="T963" s="175"/>
      <c r="U963" s="11"/>
      <c r="V963" s="11"/>
      <c r="W963" s="11"/>
      <c r="X963" s="11"/>
    </row>
    <row r="964" spans="18:24">
      <c r="R964" s="175"/>
      <c r="S964" s="11"/>
      <c r="T964" s="175"/>
      <c r="U964" s="11"/>
      <c r="V964" s="11"/>
      <c r="W964" s="11"/>
      <c r="X964" s="11"/>
    </row>
    <row r="965" spans="18:24">
      <c r="R965" s="175"/>
      <c r="S965" s="11"/>
      <c r="T965" s="175"/>
      <c r="U965" s="11"/>
      <c r="V965" s="11"/>
      <c r="W965" s="11"/>
      <c r="X965" s="11"/>
    </row>
    <row r="966" spans="18:24">
      <c r="R966" s="175"/>
      <c r="S966" s="11"/>
      <c r="T966" s="175"/>
      <c r="U966" s="11"/>
      <c r="V966" s="11"/>
      <c r="W966" s="11"/>
      <c r="X966" s="11"/>
    </row>
    <row r="967" spans="18:24">
      <c r="R967" s="175"/>
      <c r="S967" s="11"/>
      <c r="T967" s="175"/>
      <c r="U967" s="11"/>
      <c r="V967" s="11"/>
      <c r="W967" s="11"/>
      <c r="X967" s="11"/>
    </row>
    <row r="968" spans="18:24">
      <c r="R968" s="175"/>
      <c r="S968" s="11"/>
      <c r="T968" s="175"/>
      <c r="U968" s="11"/>
      <c r="V968" s="11"/>
      <c r="W968" s="11"/>
      <c r="X968" s="11"/>
    </row>
    <row r="969" spans="18:24">
      <c r="R969" s="175"/>
      <c r="S969" s="11"/>
      <c r="T969" s="175"/>
      <c r="U969" s="11"/>
      <c r="V969" s="11"/>
      <c r="W969" s="11"/>
      <c r="X969" s="11"/>
    </row>
    <row r="970" spans="18:24">
      <c r="R970" s="175"/>
      <c r="S970" s="11"/>
      <c r="T970" s="175"/>
      <c r="U970" s="11"/>
      <c r="V970" s="11"/>
      <c r="W970" s="11"/>
      <c r="X970" s="11"/>
    </row>
    <row r="971" spans="18:24">
      <c r="R971" s="175"/>
      <c r="S971" s="11"/>
      <c r="T971" s="175"/>
      <c r="U971" s="11"/>
      <c r="V971" s="11"/>
      <c r="W971" s="11"/>
      <c r="X971" s="11"/>
    </row>
    <row r="972" spans="18:24">
      <c r="R972" s="175"/>
      <c r="S972" s="11"/>
      <c r="T972" s="175"/>
      <c r="U972" s="11"/>
      <c r="V972" s="11"/>
      <c r="W972" s="11"/>
      <c r="X972" s="11"/>
    </row>
    <row r="973" spans="18:24">
      <c r="R973" s="175"/>
      <c r="S973" s="11"/>
      <c r="T973" s="175"/>
      <c r="U973" s="11"/>
      <c r="V973" s="11"/>
      <c r="W973" s="11"/>
      <c r="X973" s="11"/>
    </row>
    <row r="974" spans="18:24">
      <c r="R974" s="175"/>
      <c r="S974" s="11"/>
      <c r="T974" s="175"/>
      <c r="U974" s="11"/>
      <c r="V974" s="11"/>
      <c r="W974" s="11"/>
      <c r="X974" s="11"/>
    </row>
    <row r="975" spans="18:24">
      <c r="R975" s="175"/>
      <c r="S975" s="11"/>
      <c r="T975" s="175"/>
      <c r="U975" s="11"/>
      <c r="V975" s="11"/>
      <c r="W975" s="11"/>
      <c r="X975" s="11"/>
    </row>
    <row r="976" spans="18:24">
      <c r="R976" s="175"/>
      <c r="S976" s="11"/>
      <c r="T976" s="175"/>
      <c r="U976" s="11"/>
      <c r="V976" s="11"/>
      <c r="W976" s="11"/>
      <c r="X976" s="11"/>
    </row>
    <row r="977" spans="18:24">
      <c r="R977" s="175"/>
      <c r="S977" s="11"/>
      <c r="T977" s="175"/>
      <c r="U977" s="11"/>
      <c r="V977" s="11"/>
      <c r="W977" s="11"/>
      <c r="X977" s="11"/>
    </row>
    <row r="978" spans="18:24">
      <c r="R978" s="175"/>
      <c r="S978" s="11"/>
      <c r="T978" s="175"/>
      <c r="U978" s="11"/>
      <c r="V978" s="11"/>
      <c r="W978" s="11"/>
      <c r="X978" s="11"/>
    </row>
    <row r="979" spans="18:24">
      <c r="R979" s="175"/>
      <c r="S979" s="11"/>
      <c r="T979" s="175"/>
      <c r="U979" s="11"/>
      <c r="V979" s="11"/>
      <c r="W979" s="11"/>
      <c r="X979" s="11"/>
    </row>
    <row r="980" spans="18:24">
      <c r="R980" s="175"/>
      <c r="S980" s="11"/>
      <c r="T980" s="175"/>
      <c r="U980" s="11"/>
      <c r="V980" s="11"/>
      <c r="W980" s="11"/>
      <c r="X980" s="11"/>
    </row>
    <row r="981" spans="18:24">
      <c r="R981" s="175"/>
      <c r="S981" s="11"/>
      <c r="T981" s="175"/>
      <c r="U981" s="11"/>
      <c r="V981" s="11"/>
      <c r="W981" s="11"/>
      <c r="X981" s="11"/>
    </row>
    <row r="982" spans="18:24">
      <c r="R982" s="175"/>
      <c r="S982" s="11"/>
      <c r="T982" s="175"/>
      <c r="U982" s="11"/>
      <c r="V982" s="11"/>
      <c r="W982" s="11"/>
      <c r="X982" s="11"/>
    </row>
    <row r="983" spans="18:24">
      <c r="R983" s="175"/>
      <c r="S983" s="11"/>
      <c r="T983" s="175"/>
      <c r="U983" s="11"/>
      <c r="V983" s="11"/>
      <c r="W983" s="11"/>
      <c r="X983" s="11"/>
    </row>
    <row r="984" spans="18:24">
      <c r="R984" s="175"/>
      <c r="S984" s="11"/>
      <c r="T984" s="175"/>
      <c r="U984" s="11"/>
      <c r="V984" s="11"/>
      <c r="W984" s="11"/>
      <c r="X984" s="11"/>
    </row>
    <row r="985" spans="18:24">
      <c r="R985" s="175"/>
      <c r="S985" s="11"/>
      <c r="T985" s="175"/>
      <c r="U985" s="11"/>
      <c r="V985" s="11"/>
      <c r="W985" s="11"/>
      <c r="X985" s="11"/>
    </row>
    <row r="986" spans="18:24">
      <c r="R986" s="175"/>
      <c r="S986" s="11"/>
      <c r="T986" s="175"/>
      <c r="U986" s="11"/>
      <c r="V986" s="11"/>
      <c r="W986" s="11"/>
      <c r="X986" s="11"/>
    </row>
    <row r="987" spans="18:24">
      <c r="R987" s="175"/>
      <c r="S987" s="11"/>
      <c r="T987" s="175"/>
      <c r="U987" s="11"/>
      <c r="V987" s="11"/>
      <c r="W987" s="11"/>
      <c r="X987" s="11"/>
    </row>
    <row r="988" spans="18:24">
      <c r="R988" s="175"/>
      <c r="S988" s="11"/>
      <c r="T988" s="175"/>
      <c r="U988" s="11"/>
      <c r="V988" s="11"/>
      <c r="W988" s="11"/>
      <c r="X988" s="11"/>
    </row>
    <row r="989" spans="18:24">
      <c r="R989" s="175"/>
      <c r="S989" s="11"/>
      <c r="T989" s="175"/>
      <c r="U989" s="11"/>
      <c r="V989" s="11"/>
      <c r="W989" s="11"/>
      <c r="X989" s="11"/>
    </row>
    <row r="990" spans="18:24">
      <c r="R990" s="175"/>
      <c r="S990" s="11"/>
      <c r="T990" s="175"/>
      <c r="U990" s="11"/>
      <c r="V990" s="11"/>
      <c r="W990" s="11"/>
      <c r="X990" s="11"/>
    </row>
    <row r="991" spans="18:24">
      <c r="R991" s="175"/>
      <c r="S991" s="11"/>
      <c r="T991" s="175"/>
      <c r="U991" s="11"/>
      <c r="V991" s="11"/>
      <c r="W991" s="11"/>
      <c r="X991" s="11"/>
    </row>
    <row r="992" spans="18:24">
      <c r="R992" s="175"/>
      <c r="S992" s="11"/>
      <c r="T992" s="175"/>
      <c r="U992" s="11"/>
      <c r="V992" s="11"/>
      <c r="W992" s="11"/>
      <c r="X992" s="11"/>
    </row>
    <row r="993" spans="18:24">
      <c r="R993" s="175"/>
      <c r="S993" s="11"/>
      <c r="T993" s="175"/>
      <c r="U993" s="11"/>
      <c r="V993" s="11"/>
      <c r="W993" s="11"/>
      <c r="X993" s="11"/>
    </row>
    <row r="994" spans="18:24">
      <c r="R994" s="175"/>
      <c r="S994" s="11"/>
      <c r="T994" s="175"/>
      <c r="U994" s="11"/>
      <c r="V994" s="11"/>
      <c r="W994" s="11"/>
      <c r="X994" s="11"/>
    </row>
    <row r="995" spans="18:24">
      <c r="R995" s="175"/>
      <c r="S995" s="11"/>
      <c r="T995" s="175"/>
      <c r="U995" s="11"/>
      <c r="V995" s="11"/>
      <c r="W995" s="11"/>
      <c r="X995" s="11"/>
    </row>
    <row r="996" spans="18:24">
      <c r="R996" s="175"/>
      <c r="S996" s="11"/>
      <c r="T996" s="175"/>
      <c r="U996" s="11"/>
      <c r="V996" s="11"/>
      <c r="W996" s="11"/>
      <c r="X996" s="11"/>
    </row>
    <row r="997" spans="18:24">
      <c r="R997" s="175"/>
      <c r="S997" s="11"/>
      <c r="T997" s="175"/>
      <c r="U997" s="11"/>
      <c r="V997" s="11"/>
      <c r="W997" s="11"/>
      <c r="X997" s="11"/>
    </row>
    <row r="998" spans="18:24">
      <c r="R998" s="175"/>
      <c r="S998" s="11"/>
      <c r="T998" s="175"/>
      <c r="U998" s="11"/>
      <c r="V998" s="11"/>
      <c r="W998" s="11"/>
      <c r="X998" s="11"/>
    </row>
    <row r="999" spans="18:24">
      <c r="R999" s="175"/>
      <c r="S999" s="11"/>
      <c r="T999" s="175"/>
      <c r="U999" s="11"/>
      <c r="V999" s="11"/>
      <c r="W999" s="11"/>
      <c r="X999" s="11"/>
    </row>
    <row r="1000" spans="18:24">
      <c r="R1000" s="175"/>
      <c r="S1000" s="11"/>
      <c r="T1000" s="175"/>
      <c r="U1000" s="11"/>
      <c r="V1000" s="11"/>
      <c r="W1000" s="11"/>
      <c r="X1000" s="11"/>
    </row>
    <row r="1001" spans="18:24">
      <c r="R1001" s="175"/>
      <c r="S1001" s="11"/>
      <c r="T1001" s="175"/>
      <c r="U1001" s="11"/>
      <c r="V1001" s="11"/>
      <c r="W1001" s="11"/>
      <c r="X1001" s="11"/>
    </row>
    <row r="1002" spans="18:24">
      <c r="R1002" s="175"/>
      <c r="S1002" s="11"/>
      <c r="T1002" s="175"/>
      <c r="U1002" s="11"/>
      <c r="V1002" s="11"/>
      <c r="W1002" s="11"/>
      <c r="X1002" s="11"/>
    </row>
    <row r="1003" spans="18:24">
      <c r="R1003" s="175"/>
      <c r="S1003" s="11"/>
      <c r="T1003" s="175"/>
      <c r="U1003" s="11"/>
      <c r="V1003" s="11"/>
      <c r="W1003" s="11"/>
      <c r="X1003" s="11"/>
    </row>
    <row r="1004" spans="18:24">
      <c r="R1004" s="175"/>
      <c r="S1004" s="11"/>
      <c r="T1004" s="175"/>
      <c r="U1004" s="11"/>
      <c r="V1004" s="11"/>
      <c r="W1004" s="11"/>
      <c r="X1004" s="11"/>
    </row>
    <row r="1005" spans="18:24">
      <c r="R1005" s="175"/>
      <c r="S1005" s="11"/>
      <c r="T1005" s="175"/>
      <c r="U1005" s="11"/>
      <c r="V1005" s="11"/>
      <c r="W1005" s="11"/>
      <c r="X1005" s="11"/>
    </row>
    <row r="1006" spans="18:24">
      <c r="R1006" s="175"/>
      <c r="S1006" s="11"/>
      <c r="T1006" s="175"/>
      <c r="U1006" s="11"/>
      <c r="V1006" s="11"/>
      <c r="W1006" s="11"/>
      <c r="X1006" s="11"/>
    </row>
    <row r="1007" spans="18:24">
      <c r="R1007" s="175"/>
      <c r="S1007" s="11"/>
      <c r="T1007" s="175"/>
      <c r="U1007" s="11"/>
      <c r="V1007" s="11"/>
      <c r="W1007" s="11"/>
      <c r="X1007" s="11"/>
    </row>
    <row r="1008" spans="18:24">
      <c r="R1008" s="175"/>
      <c r="S1008" s="11"/>
      <c r="T1008" s="175"/>
      <c r="U1008" s="11"/>
      <c r="V1008" s="11"/>
      <c r="W1008" s="11"/>
      <c r="X1008" s="11"/>
    </row>
    <row r="1009" spans="18:24">
      <c r="R1009" s="175"/>
      <c r="S1009" s="11"/>
      <c r="T1009" s="175"/>
      <c r="U1009" s="11"/>
      <c r="V1009" s="11"/>
      <c r="W1009" s="11"/>
      <c r="X1009" s="11"/>
    </row>
    <row r="1010" spans="18:24">
      <c r="R1010" s="175"/>
      <c r="S1010" s="11"/>
      <c r="T1010" s="175"/>
      <c r="U1010" s="11"/>
      <c r="V1010" s="11"/>
      <c r="W1010" s="11"/>
      <c r="X1010" s="11"/>
    </row>
    <row r="1011" spans="18:24">
      <c r="R1011" s="175"/>
      <c r="S1011" s="11"/>
      <c r="T1011" s="175"/>
      <c r="U1011" s="11"/>
      <c r="V1011" s="11"/>
      <c r="W1011" s="11"/>
      <c r="X1011" s="11"/>
    </row>
    <row r="1012" spans="18:24">
      <c r="R1012" s="175"/>
      <c r="S1012" s="11"/>
      <c r="T1012" s="175"/>
      <c r="U1012" s="11"/>
      <c r="V1012" s="11"/>
      <c r="W1012" s="11"/>
      <c r="X1012" s="11"/>
    </row>
    <row r="1013" spans="18:24">
      <c r="R1013" s="175"/>
      <c r="S1013" s="11"/>
      <c r="T1013" s="175"/>
      <c r="U1013" s="11"/>
      <c r="V1013" s="11"/>
      <c r="W1013" s="11"/>
      <c r="X1013" s="11"/>
    </row>
    <row r="1014" spans="18:24">
      <c r="R1014" s="175"/>
      <c r="S1014" s="11"/>
      <c r="T1014" s="175"/>
      <c r="U1014" s="11"/>
      <c r="V1014" s="11"/>
      <c r="W1014" s="11"/>
      <c r="X1014" s="11"/>
    </row>
    <row r="1015" spans="18:24">
      <c r="R1015" s="175"/>
      <c r="S1015" s="11"/>
      <c r="T1015" s="175"/>
      <c r="U1015" s="11"/>
      <c r="V1015" s="11"/>
      <c r="W1015" s="11"/>
      <c r="X1015" s="11"/>
    </row>
    <row r="1016" spans="18:24">
      <c r="R1016" s="175"/>
      <c r="S1016" s="11"/>
      <c r="T1016" s="175"/>
      <c r="U1016" s="11"/>
      <c r="V1016" s="11"/>
      <c r="W1016" s="11"/>
      <c r="X1016" s="11"/>
    </row>
    <row r="1017" spans="18:24">
      <c r="R1017" s="175"/>
      <c r="S1017" s="11"/>
      <c r="T1017" s="175"/>
      <c r="U1017" s="11"/>
      <c r="V1017" s="11"/>
      <c r="W1017" s="11"/>
      <c r="X1017" s="11"/>
    </row>
    <row r="1018" spans="18:24">
      <c r="R1018" s="175"/>
      <c r="S1018" s="11"/>
      <c r="T1018" s="175"/>
      <c r="U1018" s="11"/>
      <c r="V1018" s="11"/>
      <c r="W1018" s="11"/>
      <c r="X1018" s="11"/>
    </row>
    <row r="1019" spans="18:24">
      <c r="R1019" s="175"/>
      <c r="S1019" s="11"/>
      <c r="T1019" s="175"/>
      <c r="U1019" s="11"/>
      <c r="V1019" s="11"/>
      <c r="W1019" s="11"/>
      <c r="X1019" s="11"/>
    </row>
    <row r="1020" spans="18:24">
      <c r="R1020" s="175"/>
      <c r="S1020" s="11"/>
      <c r="T1020" s="175"/>
      <c r="U1020" s="11"/>
      <c r="V1020" s="11"/>
      <c r="W1020" s="11"/>
      <c r="X1020" s="11"/>
    </row>
    <row r="1021" spans="18:24">
      <c r="R1021" s="175"/>
      <c r="S1021" s="11"/>
      <c r="T1021" s="175"/>
      <c r="U1021" s="11"/>
      <c r="V1021" s="11"/>
      <c r="W1021" s="11"/>
      <c r="X1021" s="11"/>
    </row>
    <row r="1022" spans="18:24">
      <c r="R1022" s="175"/>
      <c r="S1022" s="11"/>
      <c r="T1022" s="175"/>
      <c r="U1022" s="11"/>
      <c r="V1022" s="11"/>
      <c r="W1022" s="11"/>
      <c r="X1022" s="11"/>
    </row>
    <row r="1023" spans="18:24">
      <c r="R1023" s="175"/>
      <c r="S1023" s="11"/>
      <c r="T1023" s="175"/>
      <c r="U1023" s="11"/>
      <c r="V1023" s="11"/>
      <c r="W1023" s="11"/>
      <c r="X1023" s="11"/>
    </row>
    <row r="1024" spans="18:24">
      <c r="R1024" s="175"/>
      <c r="S1024" s="11"/>
      <c r="T1024" s="175"/>
      <c r="U1024" s="11"/>
      <c r="V1024" s="11"/>
      <c r="W1024" s="11"/>
      <c r="X1024" s="11"/>
    </row>
    <row r="1025" spans="18:24">
      <c r="R1025" s="175"/>
      <c r="S1025" s="11"/>
      <c r="T1025" s="175"/>
      <c r="U1025" s="11"/>
      <c r="V1025" s="11"/>
      <c r="W1025" s="11"/>
      <c r="X1025" s="11"/>
    </row>
    <row r="1026" spans="18:24">
      <c r="R1026" s="175"/>
      <c r="S1026" s="11"/>
      <c r="T1026" s="175"/>
      <c r="U1026" s="11"/>
      <c r="V1026" s="11"/>
      <c r="W1026" s="11"/>
      <c r="X1026" s="11"/>
    </row>
    <row r="1027" spans="18:24">
      <c r="R1027" s="175"/>
      <c r="S1027" s="11"/>
      <c r="T1027" s="175"/>
      <c r="U1027" s="11"/>
      <c r="V1027" s="11"/>
      <c r="W1027" s="11"/>
      <c r="X1027" s="11"/>
    </row>
    <row r="1028" spans="18:24">
      <c r="R1028" s="175"/>
      <c r="S1028" s="11"/>
      <c r="T1028" s="175"/>
      <c r="U1028" s="11"/>
      <c r="V1028" s="11"/>
      <c r="W1028" s="11"/>
      <c r="X1028" s="11"/>
    </row>
    <row r="1029" spans="18:24">
      <c r="R1029" s="175"/>
      <c r="S1029" s="11"/>
      <c r="T1029" s="175"/>
      <c r="U1029" s="11"/>
      <c r="V1029" s="11"/>
      <c r="W1029" s="11"/>
      <c r="X1029" s="11"/>
    </row>
    <row r="1030" spans="18:24">
      <c r="R1030" s="175"/>
      <c r="S1030" s="11"/>
      <c r="T1030" s="175"/>
      <c r="U1030" s="11"/>
      <c r="V1030" s="11"/>
      <c r="W1030" s="11"/>
      <c r="X1030" s="11"/>
    </row>
    <row r="1031" spans="18:24">
      <c r="R1031" s="175"/>
      <c r="S1031" s="11"/>
      <c r="T1031" s="175"/>
      <c r="U1031" s="11"/>
      <c r="V1031" s="11"/>
      <c r="W1031" s="11"/>
      <c r="X1031" s="11"/>
    </row>
    <row r="1032" spans="18:24">
      <c r="R1032" s="175"/>
      <c r="S1032" s="11"/>
      <c r="T1032" s="175"/>
      <c r="U1032" s="11"/>
      <c r="V1032" s="11"/>
      <c r="W1032" s="11"/>
      <c r="X1032" s="11"/>
    </row>
    <row r="1033" spans="18:24">
      <c r="R1033" s="175"/>
      <c r="S1033" s="11"/>
      <c r="T1033" s="175"/>
      <c r="U1033" s="11"/>
      <c r="V1033" s="11"/>
      <c r="W1033" s="11"/>
      <c r="X1033" s="11"/>
    </row>
    <row r="1034" spans="18:24">
      <c r="R1034" s="175"/>
      <c r="S1034" s="11"/>
      <c r="T1034" s="175"/>
      <c r="U1034" s="11"/>
      <c r="V1034" s="11"/>
      <c r="W1034" s="11"/>
      <c r="X1034" s="11"/>
    </row>
    <row r="1035" spans="18:24">
      <c r="R1035" s="175"/>
      <c r="S1035" s="11"/>
      <c r="T1035" s="175"/>
      <c r="U1035" s="11"/>
      <c r="V1035" s="11"/>
      <c r="W1035" s="11"/>
      <c r="X1035" s="11"/>
    </row>
    <row r="1036" spans="18:24">
      <c r="R1036" s="175"/>
      <c r="S1036" s="11"/>
      <c r="T1036" s="175"/>
      <c r="U1036" s="11"/>
      <c r="V1036" s="11"/>
      <c r="W1036" s="11"/>
      <c r="X1036" s="11"/>
    </row>
    <row r="1037" spans="18:24">
      <c r="R1037" s="175"/>
      <c r="S1037" s="11"/>
      <c r="T1037" s="175"/>
      <c r="U1037" s="11"/>
      <c r="V1037" s="11"/>
      <c r="W1037" s="11"/>
      <c r="X1037" s="11"/>
    </row>
    <row r="1038" spans="18:24">
      <c r="R1038" s="175"/>
      <c r="S1038" s="11"/>
      <c r="T1038" s="175"/>
      <c r="U1038" s="11"/>
      <c r="V1038" s="11"/>
      <c r="W1038" s="11"/>
      <c r="X1038" s="11"/>
    </row>
    <row r="1039" spans="18:24">
      <c r="R1039" s="175"/>
      <c r="S1039" s="11"/>
      <c r="T1039" s="175"/>
      <c r="U1039" s="11"/>
      <c r="V1039" s="11"/>
      <c r="W1039" s="11"/>
      <c r="X1039" s="11"/>
    </row>
    <row r="1040" spans="18:24">
      <c r="R1040" s="175"/>
      <c r="S1040" s="11"/>
      <c r="T1040" s="175"/>
      <c r="U1040" s="11"/>
      <c r="V1040" s="11"/>
      <c r="W1040" s="11"/>
      <c r="X1040" s="11"/>
    </row>
    <row r="1041" spans="18:24">
      <c r="R1041" s="175"/>
      <c r="S1041" s="11"/>
      <c r="T1041" s="175"/>
      <c r="U1041" s="11"/>
      <c r="V1041" s="11"/>
      <c r="W1041" s="11"/>
      <c r="X1041" s="11"/>
    </row>
    <row r="1042" spans="18:24">
      <c r="R1042" s="175"/>
      <c r="S1042" s="11"/>
      <c r="T1042" s="175"/>
      <c r="U1042" s="11"/>
      <c r="V1042" s="11"/>
      <c r="W1042" s="11"/>
      <c r="X1042" s="11"/>
    </row>
    <row r="1043" spans="18:24">
      <c r="R1043" s="175"/>
      <c r="S1043" s="11"/>
      <c r="T1043" s="175"/>
      <c r="U1043" s="11"/>
      <c r="V1043" s="11"/>
      <c r="W1043" s="11"/>
      <c r="X1043" s="11"/>
    </row>
    <row r="1044" spans="18:24">
      <c r="R1044" s="175"/>
      <c r="S1044" s="11"/>
      <c r="T1044" s="175"/>
      <c r="U1044" s="11"/>
      <c r="V1044" s="11"/>
      <c r="W1044" s="11"/>
      <c r="X1044" s="11"/>
    </row>
    <row r="1045" spans="18:24">
      <c r="R1045" s="175"/>
      <c r="S1045" s="11"/>
      <c r="T1045" s="175"/>
      <c r="U1045" s="11"/>
      <c r="V1045" s="11"/>
      <c r="W1045" s="11"/>
      <c r="X1045" s="11"/>
    </row>
    <row r="1046" spans="18:24">
      <c r="R1046" s="175"/>
      <c r="S1046" s="11"/>
      <c r="T1046" s="175"/>
      <c r="U1046" s="11"/>
      <c r="V1046" s="11"/>
      <c r="W1046" s="11"/>
      <c r="X1046" s="11"/>
    </row>
    <row r="1047" spans="18:24">
      <c r="R1047" s="175"/>
      <c r="S1047" s="11"/>
      <c r="T1047" s="175"/>
      <c r="U1047" s="11"/>
      <c r="V1047" s="11"/>
      <c r="W1047" s="11"/>
      <c r="X1047" s="11"/>
    </row>
    <row r="1048" spans="18:24">
      <c r="R1048" s="175"/>
      <c r="S1048" s="11"/>
      <c r="T1048" s="175"/>
      <c r="U1048" s="11"/>
      <c r="V1048" s="11"/>
      <c r="W1048" s="11"/>
      <c r="X1048" s="11"/>
    </row>
    <row r="1049" spans="18:24">
      <c r="R1049" s="175"/>
      <c r="S1049" s="11"/>
      <c r="T1049" s="175"/>
      <c r="U1049" s="11"/>
      <c r="V1049" s="11"/>
      <c r="W1049" s="11"/>
      <c r="X1049" s="11"/>
    </row>
    <row r="1050" spans="18:24">
      <c r="R1050" s="175"/>
      <c r="S1050" s="11"/>
      <c r="T1050" s="175"/>
      <c r="U1050" s="11"/>
      <c r="V1050" s="11"/>
      <c r="W1050" s="11"/>
      <c r="X1050" s="11"/>
    </row>
    <row r="1051" spans="18:24">
      <c r="R1051" s="175"/>
      <c r="S1051" s="11"/>
      <c r="T1051" s="175"/>
      <c r="U1051" s="11"/>
      <c r="V1051" s="11"/>
      <c r="W1051" s="11"/>
      <c r="X1051" s="11"/>
    </row>
    <row r="1052" spans="18:24">
      <c r="R1052" s="175"/>
      <c r="S1052" s="11"/>
      <c r="T1052" s="175"/>
      <c r="U1052" s="11"/>
      <c r="V1052" s="11"/>
      <c r="W1052" s="11"/>
      <c r="X1052" s="11"/>
    </row>
    <row r="1053" spans="18:24">
      <c r="R1053" s="175"/>
      <c r="S1053" s="11"/>
      <c r="T1053" s="175"/>
      <c r="U1053" s="11"/>
      <c r="V1053" s="11"/>
      <c r="W1053" s="11"/>
      <c r="X1053" s="11"/>
    </row>
    <row r="1054" spans="18:24">
      <c r="R1054" s="175"/>
      <c r="S1054" s="11"/>
      <c r="T1054" s="175"/>
      <c r="U1054" s="11"/>
      <c r="V1054" s="11"/>
      <c r="W1054" s="11"/>
      <c r="X1054" s="11"/>
    </row>
    <row r="1055" spans="18:24">
      <c r="R1055" s="175"/>
      <c r="S1055" s="11"/>
      <c r="T1055" s="175"/>
      <c r="U1055" s="11"/>
      <c r="V1055" s="11"/>
      <c r="W1055" s="11"/>
      <c r="X1055" s="11"/>
    </row>
    <row r="1056" spans="18:24">
      <c r="R1056" s="175"/>
      <c r="S1056" s="11"/>
      <c r="T1056" s="175"/>
      <c r="U1056" s="11"/>
      <c r="V1056" s="11"/>
      <c r="W1056" s="11"/>
      <c r="X1056" s="11"/>
    </row>
    <row r="1057" spans="18:24">
      <c r="R1057" s="175"/>
      <c r="S1057" s="11"/>
      <c r="T1057" s="175"/>
      <c r="U1057" s="11"/>
      <c r="V1057" s="11"/>
      <c r="W1057" s="11"/>
      <c r="X1057" s="11"/>
    </row>
    <row r="1058" spans="18:24">
      <c r="R1058" s="175"/>
      <c r="S1058" s="11"/>
      <c r="T1058" s="175"/>
      <c r="U1058" s="11"/>
      <c r="V1058" s="11"/>
      <c r="W1058" s="11"/>
      <c r="X1058" s="11"/>
    </row>
    <row r="1059" spans="18:24">
      <c r="R1059" s="175"/>
      <c r="S1059" s="11"/>
      <c r="T1059" s="175"/>
      <c r="U1059" s="11"/>
      <c r="V1059" s="11"/>
      <c r="W1059" s="11"/>
      <c r="X1059" s="11"/>
    </row>
    <row r="1060" spans="18:24">
      <c r="R1060" s="175"/>
      <c r="S1060" s="11"/>
      <c r="T1060" s="175"/>
      <c r="U1060" s="11"/>
      <c r="V1060" s="11"/>
      <c r="W1060" s="11"/>
      <c r="X1060" s="11"/>
    </row>
    <row r="1061" spans="18:24">
      <c r="R1061" s="175"/>
      <c r="S1061" s="11"/>
      <c r="T1061" s="175"/>
      <c r="U1061" s="11"/>
      <c r="V1061" s="11"/>
      <c r="W1061" s="11"/>
      <c r="X1061" s="11"/>
    </row>
    <row r="1062" spans="18:24">
      <c r="R1062" s="175"/>
      <c r="S1062" s="11"/>
      <c r="T1062" s="175"/>
      <c r="U1062" s="11"/>
      <c r="V1062" s="11"/>
      <c r="W1062" s="11"/>
      <c r="X1062" s="11"/>
    </row>
    <row r="1063" spans="18:24">
      <c r="R1063" s="175"/>
      <c r="S1063" s="11"/>
      <c r="T1063" s="175"/>
      <c r="U1063" s="11"/>
      <c r="V1063" s="11"/>
      <c r="W1063" s="11"/>
      <c r="X1063" s="11"/>
    </row>
    <row r="1064" spans="18:24">
      <c r="R1064" s="175"/>
      <c r="S1064" s="11"/>
      <c r="T1064" s="175"/>
      <c r="U1064" s="11"/>
      <c r="V1064" s="11"/>
      <c r="W1064" s="11"/>
      <c r="X1064" s="11"/>
    </row>
    <row r="1065" spans="18:24">
      <c r="R1065" s="175"/>
      <c r="S1065" s="11"/>
      <c r="T1065" s="175"/>
      <c r="U1065" s="11"/>
      <c r="V1065" s="11"/>
      <c r="W1065" s="11"/>
      <c r="X1065" s="11"/>
    </row>
    <row r="1066" spans="18:24">
      <c r="R1066" s="175"/>
      <c r="S1066" s="11"/>
      <c r="T1066" s="175"/>
      <c r="U1066" s="11"/>
      <c r="V1066" s="11"/>
      <c r="W1066" s="11"/>
      <c r="X1066" s="11"/>
    </row>
    <row r="1067" spans="18:24">
      <c r="R1067" s="175"/>
      <c r="S1067" s="11"/>
      <c r="T1067" s="175"/>
      <c r="U1067" s="11"/>
      <c r="V1067" s="11"/>
      <c r="W1067" s="11"/>
      <c r="X1067" s="11"/>
    </row>
    <row r="1068" spans="18:24">
      <c r="R1068" s="175"/>
      <c r="S1068" s="11"/>
      <c r="T1068" s="175"/>
      <c r="U1068" s="11"/>
      <c r="V1068" s="11"/>
      <c r="W1068" s="11"/>
      <c r="X1068" s="11"/>
    </row>
    <row r="1069" spans="18:24">
      <c r="R1069" s="175"/>
      <c r="S1069" s="11"/>
      <c r="T1069" s="175"/>
      <c r="U1069" s="11"/>
      <c r="V1069" s="11"/>
      <c r="W1069" s="11"/>
      <c r="X1069" s="11"/>
    </row>
    <row r="1070" spans="18:24">
      <c r="R1070" s="175"/>
      <c r="S1070" s="11"/>
      <c r="T1070" s="175"/>
      <c r="U1070" s="11"/>
      <c r="V1070" s="11"/>
      <c r="W1070" s="11"/>
      <c r="X1070" s="11"/>
    </row>
    <row r="1071" spans="18:24">
      <c r="R1071" s="175"/>
      <c r="S1071" s="11"/>
      <c r="T1071" s="175"/>
      <c r="U1071" s="11"/>
      <c r="V1071" s="11"/>
      <c r="W1071" s="11"/>
      <c r="X1071" s="11"/>
    </row>
    <row r="1072" spans="18:24">
      <c r="R1072" s="175"/>
      <c r="S1072" s="11"/>
      <c r="T1072" s="175"/>
      <c r="U1072" s="11"/>
      <c r="V1072" s="11"/>
      <c r="W1072" s="11"/>
      <c r="X1072" s="11"/>
    </row>
    <row r="1073" spans="18:24">
      <c r="R1073" s="175"/>
      <c r="S1073" s="11"/>
      <c r="T1073" s="175"/>
      <c r="U1073" s="11"/>
      <c r="V1073" s="11"/>
      <c r="W1073" s="11"/>
      <c r="X1073" s="11"/>
    </row>
    <row r="1074" spans="18:24">
      <c r="R1074" s="175"/>
      <c r="S1074" s="11"/>
      <c r="T1074" s="175"/>
      <c r="U1074" s="11"/>
      <c r="V1074" s="11"/>
      <c r="W1074" s="11"/>
      <c r="X1074" s="11"/>
    </row>
    <row r="1075" spans="18:24">
      <c r="R1075" s="175"/>
      <c r="S1075" s="11"/>
      <c r="T1075" s="175"/>
      <c r="U1075" s="11"/>
      <c r="V1075" s="11"/>
      <c r="W1075" s="11"/>
      <c r="X1075" s="11"/>
    </row>
    <row r="1076" spans="18:24">
      <c r="R1076" s="175"/>
      <c r="S1076" s="11"/>
      <c r="T1076" s="175"/>
      <c r="U1076" s="11"/>
      <c r="V1076" s="11"/>
      <c r="W1076" s="11"/>
      <c r="X1076" s="11"/>
    </row>
    <row r="1077" spans="18:24">
      <c r="R1077" s="175"/>
      <c r="S1077" s="11"/>
      <c r="T1077" s="175"/>
      <c r="U1077" s="11"/>
      <c r="V1077" s="11"/>
      <c r="W1077" s="11"/>
      <c r="X1077" s="11"/>
    </row>
    <row r="1078" spans="18:24">
      <c r="R1078" s="175"/>
      <c r="S1078" s="11"/>
      <c r="T1078" s="175"/>
      <c r="U1078" s="11"/>
      <c r="V1078" s="11"/>
      <c r="W1078" s="11"/>
      <c r="X1078" s="11"/>
    </row>
    <row r="1079" spans="18:24">
      <c r="R1079" s="175"/>
      <c r="S1079" s="11"/>
      <c r="T1079" s="175"/>
      <c r="U1079" s="11"/>
      <c r="V1079" s="11"/>
      <c r="W1079" s="11"/>
      <c r="X1079" s="11"/>
    </row>
    <row r="1080" spans="18:24">
      <c r="R1080" s="175"/>
      <c r="S1080" s="11"/>
      <c r="T1080" s="175"/>
      <c r="U1080" s="11"/>
      <c r="V1080" s="11"/>
      <c r="W1080" s="11"/>
      <c r="X1080" s="11"/>
    </row>
    <row r="1081" spans="18:24">
      <c r="R1081" s="175"/>
      <c r="S1081" s="11"/>
      <c r="T1081" s="175"/>
      <c r="U1081" s="11"/>
      <c r="V1081" s="11"/>
      <c r="W1081" s="11"/>
      <c r="X1081" s="11"/>
    </row>
    <row r="1082" spans="18:24">
      <c r="R1082" s="175"/>
      <c r="S1082" s="11"/>
      <c r="T1082" s="175"/>
      <c r="U1082" s="11"/>
      <c r="V1082" s="11"/>
      <c r="W1082" s="11"/>
      <c r="X1082" s="11"/>
    </row>
    <row r="1083" spans="18:24">
      <c r="R1083" s="175"/>
      <c r="S1083" s="11"/>
      <c r="T1083" s="175"/>
      <c r="U1083" s="11"/>
      <c r="V1083" s="11"/>
      <c r="W1083" s="11"/>
      <c r="X1083" s="11"/>
    </row>
    <row r="1084" spans="18:24">
      <c r="R1084" s="175"/>
      <c r="S1084" s="11"/>
      <c r="T1084" s="175"/>
      <c r="U1084" s="11"/>
      <c r="V1084" s="11"/>
      <c r="W1084" s="11"/>
      <c r="X1084" s="11"/>
    </row>
    <row r="1085" spans="18:24">
      <c r="R1085" s="175"/>
      <c r="S1085" s="11"/>
      <c r="T1085" s="175"/>
      <c r="U1085" s="11"/>
      <c r="V1085" s="11"/>
      <c r="W1085" s="11"/>
      <c r="X1085" s="11"/>
    </row>
    <row r="1086" spans="18:24">
      <c r="R1086" s="175"/>
      <c r="S1086" s="11"/>
      <c r="T1086" s="175"/>
      <c r="U1086" s="11"/>
      <c r="V1086" s="11"/>
      <c r="W1086" s="11"/>
      <c r="X1086" s="11"/>
    </row>
    <row r="1087" spans="18:24">
      <c r="R1087" s="175"/>
      <c r="S1087" s="11"/>
      <c r="T1087" s="175"/>
      <c r="U1087" s="11"/>
      <c r="V1087" s="11"/>
      <c r="W1087" s="11"/>
      <c r="X1087" s="11"/>
    </row>
    <row r="1088" spans="18:24">
      <c r="R1088" s="175"/>
      <c r="S1088" s="11"/>
      <c r="T1088" s="175"/>
      <c r="U1088" s="11"/>
      <c r="V1088" s="11"/>
      <c r="W1088" s="11"/>
      <c r="X1088" s="11"/>
    </row>
    <row r="1089" spans="18:24">
      <c r="R1089" s="175"/>
      <c r="S1089" s="11"/>
      <c r="T1089" s="175"/>
      <c r="U1089" s="11"/>
      <c r="V1089" s="11"/>
      <c r="W1089" s="11"/>
      <c r="X1089" s="11"/>
    </row>
    <row r="1090" spans="18:24">
      <c r="R1090" s="175"/>
      <c r="S1090" s="11"/>
      <c r="T1090" s="175"/>
      <c r="U1090" s="11"/>
      <c r="V1090" s="11"/>
      <c r="W1090" s="11"/>
      <c r="X1090" s="11"/>
    </row>
    <row r="1091" spans="18:24">
      <c r="R1091" s="175"/>
      <c r="S1091" s="11"/>
      <c r="T1091" s="175"/>
      <c r="U1091" s="11"/>
      <c r="V1091" s="11"/>
      <c r="W1091" s="11"/>
      <c r="X1091" s="11"/>
    </row>
    <row r="1092" spans="18:24">
      <c r="R1092" s="175"/>
      <c r="S1092" s="11"/>
      <c r="T1092" s="175"/>
      <c r="U1092" s="11"/>
      <c r="V1092" s="11"/>
      <c r="W1092" s="11"/>
      <c r="X1092" s="11"/>
    </row>
    <row r="1093" spans="18:24">
      <c r="R1093" s="175"/>
      <c r="S1093" s="11"/>
      <c r="T1093" s="175"/>
      <c r="U1093" s="11"/>
      <c r="V1093" s="11"/>
      <c r="W1093" s="11"/>
      <c r="X1093" s="11"/>
    </row>
    <row r="1094" spans="18:24">
      <c r="R1094" s="175"/>
      <c r="S1094" s="11"/>
      <c r="T1094" s="175"/>
      <c r="U1094" s="11"/>
      <c r="V1094" s="11"/>
      <c r="W1094" s="11"/>
      <c r="X1094" s="11"/>
    </row>
    <row r="1095" spans="18:24">
      <c r="R1095" s="175"/>
      <c r="S1095" s="11"/>
      <c r="T1095" s="175"/>
      <c r="U1095" s="11"/>
      <c r="V1095" s="11"/>
      <c r="W1095" s="11"/>
      <c r="X1095" s="11"/>
    </row>
    <row r="1096" spans="18:24">
      <c r="R1096" s="175"/>
      <c r="S1096" s="11"/>
      <c r="T1096" s="175"/>
      <c r="U1096" s="11"/>
      <c r="V1096" s="11"/>
      <c r="W1096" s="11"/>
      <c r="X1096" s="11"/>
    </row>
    <row r="1097" spans="18:24">
      <c r="R1097" s="175"/>
      <c r="S1097" s="11"/>
      <c r="T1097" s="175"/>
      <c r="U1097" s="11"/>
      <c r="V1097" s="11"/>
      <c r="W1097" s="11"/>
      <c r="X1097" s="11"/>
    </row>
    <row r="1098" spans="18:24">
      <c r="R1098" s="175"/>
      <c r="S1098" s="11"/>
      <c r="T1098" s="175"/>
      <c r="U1098" s="11"/>
      <c r="V1098" s="11"/>
      <c r="W1098" s="11"/>
      <c r="X1098" s="11"/>
    </row>
    <row r="1099" spans="18:24">
      <c r="R1099" s="175"/>
      <c r="S1099" s="11"/>
      <c r="T1099" s="175"/>
      <c r="U1099" s="11"/>
      <c r="V1099" s="11"/>
      <c r="W1099" s="11"/>
      <c r="X1099" s="11"/>
    </row>
    <row r="1100" spans="18:24">
      <c r="R1100" s="175"/>
      <c r="S1100" s="11"/>
      <c r="T1100" s="175"/>
      <c r="U1100" s="11"/>
      <c r="V1100" s="11"/>
      <c r="W1100" s="11"/>
      <c r="X1100" s="11"/>
    </row>
    <row r="1101" spans="18:24">
      <c r="R1101" s="175"/>
      <c r="S1101" s="11"/>
      <c r="T1101" s="175"/>
      <c r="U1101" s="11"/>
      <c r="V1101" s="11"/>
      <c r="W1101" s="11"/>
      <c r="X1101" s="11"/>
    </row>
    <row r="1102" spans="18:24">
      <c r="R1102" s="175"/>
      <c r="S1102" s="11"/>
      <c r="T1102" s="175"/>
      <c r="U1102" s="11"/>
      <c r="V1102" s="11"/>
      <c r="W1102" s="11"/>
      <c r="X1102" s="11"/>
    </row>
    <row r="1103" spans="18:24">
      <c r="R1103" s="175"/>
      <c r="S1103" s="11"/>
      <c r="T1103" s="175"/>
      <c r="U1103" s="11"/>
      <c r="V1103" s="11"/>
      <c r="W1103" s="11"/>
      <c r="X1103" s="11"/>
    </row>
    <row r="1104" spans="18:24">
      <c r="R1104" s="175"/>
      <c r="S1104" s="11"/>
      <c r="T1104" s="175"/>
      <c r="U1104" s="11"/>
      <c r="V1104" s="11"/>
      <c r="W1104" s="11"/>
      <c r="X1104" s="11"/>
    </row>
    <row r="1105" spans="18:24">
      <c r="R1105" s="175"/>
      <c r="S1105" s="11"/>
      <c r="T1105" s="175"/>
      <c r="U1105" s="11"/>
      <c r="V1105" s="11"/>
      <c r="W1105" s="11"/>
      <c r="X1105" s="11"/>
    </row>
    <row r="1106" spans="18:24">
      <c r="R1106" s="175"/>
      <c r="S1106" s="11"/>
      <c r="T1106" s="175"/>
      <c r="U1106" s="11"/>
      <c r="V1106" s="11"/>
      <c r="W1106" s="11"/>
      <c r="X1106" s="11"/>
    </row>
    <row r="1107" spans="18:24">
      <c r="R1107" s="175"/>
      <c r="S1107" s="11"/>
      <c r="T1107" s="175"/>
      <c r="U1107" s="11"/>
      <c r="V1107" s="11"/>
      <c r="W1107" s="11"/>
      <c r="X1107" s="11"/>
    </row>
    <row r="1108" spans="18:24">
      <c r="R1108" s="175"/>
      <c r="S1108" s="11"/>
      <c r="T1108" s="175"/>
      <c r="U1108" s="11"/>
      <c r="V1108" s="11"/>
      <c r="W1108" s="11"/>
      <c r="X1108" s="11"/>
    </row>
    <row r="1109" spans="18:24">
      <c r="R1109" s="175"/>
      <c r="S1109" s="11"/>
      <c r="T1109" s="175"/>
      <c r="U1109" s="11"/>
      <c r="V1109" s="11"/>
      <c r="W1109" s="11"/>
      <c r="X1109" s="11"/>
    </row>
    <row r="1110" spans="18:24">
      <c r="R1110" s="175"/>
      <c r="S1110" s="11"/>
      <c r="T1110" s="175"/>
      <c r="U1110" s="11"/>
      <c r="V1110" s="11"/>
      <c r="W1110" s="11"/>
      <c r="X1110" s="11"/>
    </row>
    <row r="1111" spans="18:24">
      <c r="R1111" s="175"/>
      <c r="S1111" s="11"/>
      <c r="T1111" s="175"/>
      <c r="U1111" s="11"/>
      <c r="V1111" s="11"/>
      <c r="W1111" s="11"/>
      <c r="X1111" s="11"/>
    </row>
    <row r="1112" spans="18:24">
      <c r="R1112" s="175"/>
      <c r="S1112" s="11"/>
      <c r="T1112" s="175"/>
      <c r="U1112" s="11"/>
      <c r="V1112" s="11"/>
      <c r="W1112" s="11"/>
      <c r="X1112" s="11"/>
    </row>
    <row r="1113" spans="18:24">
      <c r="R1113" s="175"/>
      <c r="S1113" s="11"/>
      <c r="T1113" s="175"/>
      <c r="U1113" s="11"/>
      <c r="V1113" s="11"/>
      <c r="W1113" s="11"/>
      <c r="X1113" s="11"/>
    </row>
    <row r="1114" spans="18:24">
      <c r="R1114" s="175"/>
      <c r="S1114" s="11"/>
      <c r="T1114" s="175"/>
      <c r="U1114" s="11"/>
      <c r="V1114" s="11"/>
      <c r="W1114" s="11"/>
      <c r="X1114" s="11"/>
    </row>
    <row r="1115" spans="18:24">
      <c r="R1115" s="175"/>
      <c r="S1115" s="11"/>
      <c r="T1115" s="175"/>
      <c r="U1115" s="11"/>
      <c r="V1115" s="11"/>
      <c r="W1115" s="11"/>
      <c r="X1115" s="11"/>
    </row>
    <row r="1116" spans="18:24">
      <c r="R1116" s="175"/>
      <c r="S1116" s="11"/>
      <c r="T1116" s="175"/>
      <c r="U1116" s="11"/>
      <c r="V1116" s="11"/>
      <c r="W1116" s="11"/>
      <c r="X1116" s="11"/>
    </row>
    <row r="1117" spans="18:24">
      <c r="R1117" s="175"/>
      <c r="S1117" s="11"/>
      <c r="T1117" s="175"/>
      <c r="U1117" s="11"/>
      <c r="V1117" s="11"/>
      <c r="W1117" s="11"/>
      <c r="X1117" s="11"/>
    </row>
    <row r="1118" spans="18:24">
      <c r="R1118" s="175"/>
      <c r="S1118" s="11"/>
      <c r="T1118" s="175"/>
      <c r="U1118" s="11"/>
      <c r="V1118" s="11"/>
      <c r="W1118" s="11"/>
      <c r="X1118" s="11"/>
    </row>
    <row r="1119" spans="18:24">
      <c r="R1119" s="175"/>
      <c r="S1119" s="11"/>
      <c r="T1119" s="175"/>
      <c r="U1119" s="11"/>
      <c r="V1119" s="11"/>
      <c r="W1119" s="11"/>
      <c r="X1119" s="11"/>
    </row>
    <row r="1120" spans="18:24">
      <c r="R1120" s="175"/>
      <c r="S1120" s="11"/>
      <c r="T1120" s="175"/>
      <c r="U1120" s="11"/>
      <c r="V1120" s="11"/>
      <c r="W1120" s="11"/>
      <c r="X1120" s="11"/>
    </row>
    <row r="1121" spans="18:24">
      <c r="R1121" s="175"/>
      <c r="S1121" s="11"/>
      <c r="T1121" s="175"/>
      <c r="U1121" s="11"/>
      <c r="V1121" s="11"/>
      <c r="W1121" s="11"/>
      <c r="X1121" s="11"/>
    </row>
    <row r="1122" spans="18:24">
      <c r="R1122" s="175"/>
      <c r="S1122" s="11"/>
      <c r="T1122" s="175"/>
      <c r="U1122" s="11"/>
      <c r="V1122" s="11"/>
      <c r="W1122" s="11"/>
      <c r="X1122" s="11"/>
    </row>
    <row r="1123" spans="18:24">
      <c r="R1123" s="175"/>
      <c r="S1123" s="11"/>
      <c r="T1123" s="175"/>
      <c r="U1123" s="11"/>
      <c r="V1123" s="11"/>
      <c r="W1123" s="11"/>
      <c r="X1123" s="11"/>
    </row>
    <row r="1124" spans="18:24">
      <c r="R1124" s="175"/>
      <c r="S1124" s="11"/>
      <c r="T1124" s="175"/>
      <c r="U1124" s="11"/>
      <c r="V1124" s="11"/>
      <c r="W1124" s="11"/>
      <c r="X1124" s="11"/>
    </row>
    <row r="1125" spans="18:24">
      <c r="R1125" s="175"/>
      <c r="S1125" s="11"/>
      <c r="T1125" s="175"/>
      <c r="U1125" s="11"/>
      <c r="V1125" s="11"/>
      <c r="W1125" s="11"/>
      <c r="X1125" s="11"/>
    </row>
    <row r="1126" spans="18:24">
      <c r="R1126" s="175"/>
      <c r="S1126" s="11"/>
      <c r="T1126" s="175"/>
      <c r="U1126" s="11"/>
      <c r="V1126" s="11"/>
      <c r="W1126" s="11"/>
      <c r="X1126" s="11"/>
    </row>
    <row r="1127" spans="18:24">
      <c r="R1127" s="175"/>
      <c r="S1127" s="11"/>
      <c r="T1127" s="175"/>
      <c r="U1127" s="11"/>
      <c r="V1127" s="11"/>
      <c r="W1127" s="11"/>
      <c r="X1127" s="11"/>
    </row>
    <row r="1128" spans="18:24">
      <c r="R1128" s="175"/>
      <c r="S1128" s="11"/>
      <c r="T1128" s="175"/>
      <c r="U1128" s="11"/>
      <c r="V1128" s="11"/>
      <c r="W1128" s="11"/>
      <c r="X1128" s="11"/>
    </row>
    <row r="1129" spans="18:24">
      <c r="R1129" s="175"/>
      <c r="S1129" s="11"/>
      <c r="T1129" s="175"/>
      <c r="U1129" s="11"/>
      <c r="V1129" s="11"/>
      <c r="W1129" s="11"/>
      <c r="X1129" s="11"/>
    </row>
    <row r="1130" spans="18:24">
      <c r="R1130" s="175"/>
      <c r="S1130" s="11"/>
      <c r="T1130" s="175"/>
      <c r="U1130" s="11"/>
      <c r="V1130" s="11"/>
      <c r="W1130" s="11"/>
      <c r="X1130" s="11"/>
    </row>
    <row r="1131" spans="18:24">
      <c r="R1131" s="175"/>
      <c r="S1131" s="11"/>
      <c r="T1131" s="175"/>
      <c r="U1131" s="11"/>
      <c r="V1131" s="11"/>
      <c r="W1131" s="11"/>
      <c r="X1131" s="11"/>
    </row>
    <row r="1132" spans="18:24">
      <c r="R1132" s="175"/>
      <c r="S1132" s="11"/>
      <c r="T1132" s="175"/>
      <c r="U1132" s="11"/>
      <c r="V1132" s="11"/>
      <c r="W1132" s="11"/>
      <c r="X1132" s="11"/>
    </row>
    <row r="1133" spans="18:24">
      <c r="R1133" s="175"/>
      <c r="S1133" s="11"/>
      <c r="T1133" s="175"/>
      <c r="U1133" s="11"/>
      <c r="V1133" s="11"/>
      <c r="W1133" s="11"/>
      <c r="X1133" s="11"/>
    </row>
    <row r="1134" spans="18:24">
      <c r="R1134" s="175"/>
      <c r="S1134" s="11"/>
      <c r="T1134" s="175"/>
      <c r="U1134" s="11"/>
      <c r="V1134" s="11"/>
      <c r="W1134" s="11"/>
      <c r="X1134" s="11"/>
    </row>
    <row r="1135" spans="18:24">
      <c r="R1135" s="175"/>
      <c r="S1135" s="11"/>
      <c r="T1135" s="175"/>
      <c r="U1135" s="11"/>
      <c r="V1135" s="11"/>
      <c r="W1135" s="11"/>
      <c r="X1135" s="11"/>
    </row>
    <row r="1136" spans="18:24">
      <c r="R1136" s="175"/>
      <c r="S1136" s="11"/>
      <c r="T1136" s="175"/>
      <c r="U1136" s="11"/>
      <c r="V1136" s="11"/>
      <c r="W1136" s="11"/>
      <c r="X1136" s="11"/>
    </row>
    <row r="1137" spans="18:24">
      <c r="R1137" s="175"/>
      <c r="S1137" s="11"/>
      <c r="T1137" s="175"/>
      <c r="U1137" s="11"/>
      <c r="V1137" s="11"/>
      <c r="W1137" s="11"/>
      <c r="X1137" s="11"/>
    </row>
    <row r="1138" spans="18:24">
      <c r="R1138" s="175"/>
      <c r="S1138" s="11"/>
      <c r="T1138" s="175"/>
      <c r="U1138" s="11"/>
      <c r="V1138" s="11"/>
      <c r="W1138" s="11"/>
      <c r="X1138" s="11"/>
    </row>
    <row r="1139" spans="18:24">
      <c r="R1139" s="175"/>
      <c r="S1139" s="11"/>
      <c r="T1139" s="175"/>
      <c r="U1139" s="11"/>
      <c r="V1139" s="11"/>
      <c r="W1139" s="11"/>
      <c r="X1139" s="11"/>
    </row>
    <row r="1140" spans="18:24">
      <c r="R1140" s="175"/>
      <c r="S1140" s="11"/>
      <c r="T1140" s="175"/>
      <c r="U1140" s="11"/>
      <c r="V1140" s="11"/>
      <c r="W1140" s="11"/>
      <c r="X1140" s="11"/>
    </row>
    <row r="1141" spans="18:24">
      <c r="R1141" s="175"/>
      <c r="S1141" s="11"/>
      <c r="T1141" s="175"/>
      <c r="U1141" s="11"/>
      <c r="V1141" s="11"/>
      <c r="W1141" s="11"/>
      <c r="X1141" s="11"/>
    </row>
    <row r="1142" spans="18:24">
      <c r="R1142" s="175"/>
      <c r="S1142" s="11"/>
      <c r="T1142" s="175"/>
      <c r="U1142" s="11"/>
      <c r="V1142" s="11"/>
      <c r="W1142" s="11"/>
      <c r="X1142" s="11"/>
    </row>
    <row r="1143" spans="18:24">
      <c r="R1143" s="175"/>
      <c r="S1143" s="11"/>
      <c r="T1143" s="175"/>
      <c r="U1143" s="11"/>
      <c r="V1143" s="11"/>
      <c r="W1143" s="11"/>
      <c r="X1143" s="11"/>
    </row>
    <row r="1144" spans="18:24">
      <c r="R1144" s="175"/>
      <c r="S1144" s="11"/>
      <c r="T1144" s="175"/>
      <c r="U1144" s="11"/>
      <c r="V1144" s="11"/>
      <c r="W1144" s="11"/>
      <c r="X1144" s="11"/>
    </row>
    <row r="1145" spans="18:24">
      <c r="R1145" s="175"/>
      <c r="S1145" s="11"/>
      <c r="T1145" s="175"/>
      <c r="U1145" s="11"/>
      <c r="V1145" s="11"/>
      <c r="W1145" s="11"/>
      <c r="X1145" s="11"/>
    </row>
    <row r="1146" spans="18:24">
      <c r="R1146" s="175"/>
      <c r="S1146" s="11"/>
      <c r="T1146" s="175"/>
      <c r="U1146" s="11"/>
      <c r="V1146" s="11"/>
      <c r="W1146" s="11"/>
      <c r="X1146" s="11"/>
    </row>
    <row r="1147" spans="18:24">
      <c r="R1147" s="175"/>
      <c r="S1147" s="11"/>
      <c r="T1147" s="175"/>
      <c r="U1147" s="11"/>
      <c r="V1147" s="11"/>
      <c r="W1147" s="11"/>
      <c r="X1147" s="11"/>
    </row>
    <row r="1148" spans="18:24">
      <c r="R1148" s="175"/>
      <c r="S1148" s="11"/>
      <c r="T1148" s="175"/>
      <c r="U1148" s="11"/>
      <c r="V1148" s="11"/>
      <c r="W1148" s="11"/>
      <c r="X1148" s="11"/>
    </row>
    <row r="1149" spans="18:24">
      <c r="R1149" s="175"/>
      <c r="S1149" s="11"/>
      <c r="T1149" s="175"/>
      <c r="U1149" s="11"/>
      <c r="V1149" s="11"/>
      <c r="W1149" s="11"/>
      <c r="X1149" s="11"/>
    </row>
    <row r="1150" spans="18:24">
      <c r="R1150" s="175"/>
      <c r="S1150" s="11"/>
      <c r="T1150" s="175"/>
      <c r="U1150" s="11"/>
      <c r="V1150" s="11"/>
      <c r="W1150" s="11"/>
      <c r="X1150" s="11"/>
    </row>
    <row r="1151" spans="18:24">
      <c r="R1151" s="175"/>
      <c r="S1151" s="11"/>
      <c r="T1151" s="175"/>
      <c r="U1151" s="11"/>
      <c r="V1151" s="11"/>
      <c r="W1151" s="11"/>
      <c r="X1151" s="11"/>
    </row>
    <row r="1152" spans="18:24">
      <c r="R1152" s="175"/>
      <c r="S1152" s="11"/>
      <c r="T1152" s="175"/>
      <c r="U1152" s="11"/>
      <c r="V1152" s="11"/>
      <c r="W1152" s="11"/>
      <c r="X1152" s="11"/>
    </row>
    <row r="1153" spans="18:24">
      <c r="R1153" s="175"/>
      <c r="S1153" s="11"/>
      <c r="T1153" s="175"/>
      <c r="U1153" s="11"/>
      <c r="V1153" s="11"/>
      <c r="W1153" s="11"/>
      <c r="X1153" s="11"/>
    </row>
    <row r="1154" spans="18:24">
      <c r="R1154" s="175"/>
      <c r="S1154" s="11"/>
      <c r="T1154" s="175"/>
      <c r="U1154" s="11"/>
      <c r="V1154" s="11"/>
      <c r="W1154" s="11"/>
      <c r="X1154" s="11"/>
    </row>
    <row r="1155" spans="18:24">
      <c r="R1155" s="175"/>
      <c r="S1155" s="11"/>
      <c r="T1155" s="175"/>
      <c r="U1155" s="11"/>
      <c r="V1155" s="11"/>
      <c r="W1155" s="11"/>
      <c r="X1155" s="11"/>
    </row>
    <row r="1156" spans="18:24">
      <c r="R1156" s="175"/>
      <c r="S1156" s="11"/>
      <c r="T1156" s="175"/>
      <c r="U1156" s="11"/>
      <c r="V1156" s="11"/>
      <c r="W1156" s="11"/>
      <c r="X1156" s="11"/>
    </row>
    <row r="1157" spans="18:24">
      <c r="R1157" s="175"/>
      <c r="S1157" s="11"/>
      <c r="T1157" s="175"/>
      <c r="U1157" s="11"/>
      <c r="V1157" s="11"/>
      <c r="W1157" s="11"/>
      <c r="X1157" s="11"/>
    </row>
    <row r="1158" spans="18:24">
      <c r="R1158" s="175"/>
      <c r="S1158" s="11"/>
      <c r="T1158" s="175"/>
      <c r="U1158" s="11"/>
      <c r="V1158" s="11"/>
      <c r="W1158" s="11"/>
      <c r="X1158" s="11"/>
    </row>
    <row r="1159" spans="18:24">
      <c r="R1159" s="175"/>
      <c r="S1159" s="11"/>
      <c r="T1159" s="175"/>
      <c r="U1159" s="11"/>
      <c r="V1159" s="11"/>
      <c r="W1159" s="11"/>
      <c r="X1159" s="11"/>
    </row>
    <row r="1160" spans="18:24">
      <c r="R1160" s="175"/>
      <c r="S1160" s="11"/>
      <c r="T1160" s="175"/>
      <c r="U1160" s="11"/>
      <c r="V1160" s="11"/>
      <c r="W1160" s="11"/>
      <c r="X1160" s="11"/>
    </row>
    <row r="1161" spans="18:24">
      <c r="R1161" s="175"/>
      <c r="S1161" s="11"/>
      <c r="T1161" s="175"/>
      <c r="U1161" s="11"/>
      <c r="V1161" s="11"/>
      <c r="W1161" s="11"/>
      <c r="X1161" s="11"/>
    </row>
    <row r="1162" spans="18:24">
      <c r="R1162" s="175"/>
      <c r="S1162" s="11"/>
      <c r="T1162" s="175"/>
      <c r="U1162" s="11"/>
      <c r="V1162" s="11"/>
      <c r="W1162" s="11"/>
      <c r="X1162" s="11"/>
    </row>
    <row r="1163" spans="18:24">
      <c r="R1163" s="175"/>
      <c r="S1163" s="11"/>
      <c r="T1163" s="175"/>
      <c r="U1163" s="11"/>
      <c r="V1163" s="11"/>
      <c r="W1163" s="11"/>
      <c r="X1163" s="11"/>
    </row>
    <row r="1164" spans="18:24">
      <c r="R1164" s="175"/>
      <c r="S1164" s="11"/>
      <c r="T1164" s="175"/>
      <c r="U1164" s="11"/>
      <c r="V1164" s="11"/>
      <c r="W1164" s="11"/>
      <c r="X1164" s="11"/>
    </row>
    <row r="1165" spans="18:24">
      <c r="R1165" s="175"/>
      <c r="S1165" s="11"/>
      <c r="T1165" s="175"/>
      <c r="U1165" s="11"/>
      <c r="V1165" s="11"/>
      <c r="W1165" s="11"/>
      <c r="X1165" s="11"/>
    </row>
    <row r="1166" spans="18:24">
      <c r="R1166" s="175"/>
      <c r="S1166" s="11"/>
      <c r="T1166" s="175"/>
      <c r="U1166" s="11"/>
      <c r="V1166" s="11"/>
      <c r="W1166" s="11"/>
      <c r="X1166" s="11"/>
    </row>
    <row r="1167" spans="18:24">
      <c r="R1167" s="175"/>
      <c r="S1167" s="11"/>
      <c r="T1167" s="175"/>
      <c r="U1167" s="11"/>
      <c r="V1167" s="11"/>
      <c r="W1167" s="11"/>
      <c r="X1167" s="11"/>
    </row>
    <row r="1168" spans="18:24">
      <c r="R1168" s="175"/>
      <c r="S1168" s="11"/>
      <c r="T1168" s="175"/>
      <c r="U1168" s="11"/>
      <c r="V1168" s="11"/>
      <c r="W1168" s="11"/>
      <c r="X1168" s="11"/>
    </row>
    <row r="1169" spans="18:24">
      <c r="R1169" s="175"/>
      <c r="S1169" s="11"/>
      <c r="T1169" s="175"/>
      <c r="U1169" s="11"/>
      <c r="V1169" s="11"/>
      <c r="W1169" s="11"/>
      <c r="X1169" s="11"/>
    </row>
    <row r="1170" spans="18:24">
      <c r="R1170" s="175"/>
      <c r="S1170" s="11"/>
      <c r="T1170" s="175"/>
      <c r="U1170" s="11"/>
      <c r="V1170" s="11"/>
      <c r="W1170" s="11"/>
      <c r="X1170" s="11"/>
    </row>
    <row r="1171" spans="18:24">
      <c r="R1171" s="175"/>
      <c r="S1171" s="11"/>
      <c r="T1171" s="175"/>
      <c r="U1171" s="11"/>
      <c r="V1171" s="11"/>
      <c r="W1171" s="11"/>
      <c r="X1171" s="11"/>
    </row>
    <row r="1172" spans="18:24">
      <c r="R1172" s="175"/>
      <c r="S1172" s="11"/>
      <c r="T1172" s="175"/>
      <c r="U1172" s="11"/>
      <c r="V1172" s="11"/>
      <c r="W1172" s="11"/>
      <c r="X1172" s="11"/>
    </row>
    <row r="1173" spans="18:24">
      <c r="R1173" s="175"/>
      <c r="S1173" s="11"/>
      <c r="T1173" s="175"/>
      <c r="U1173" s="11"/>
      <c r="V1173" s="11"/>
      <c r="W1173" s="11"/>
      <c r="X1173" s="11"/>
    </row>
    <row r="1174" spans="18:24">
      <c r="R1174" s="175"/>
      <c r="S1174" s="11"/>
      <c r="T1174" s="175"/>
      <c r="U1174" s="11"/>
      <c r="V1174" s="11"/>
      <c r="W1174" s="11"/>
      <c r="X1174" s="11"/>
    </row>
    <row r="1175" spans="18:24">
      <c r="R1175" s="175"/>
      <c r="S1175" s="11"/>
      <c r="T1175" s="175"/>
      <c r="U1175" s="11"/>
      <c r="V1175" s="11"/>
      <c r="W1175" s="11"/>
      <c r="X1175" s="11"/>
    </row>
    <row r="1176" spans="18:24">
      <c r="R1176" s="175"/>
      <c r="S1176" s="11"/>
      <c r="T1176" s="175"/>
      <c r="U1176" s="11"/>
      <c r="V1176" s="11"/>
      <c r="W1176" s="11"/>
      <c r="X1176" s="11"/>
    </row>
    <row r="1177" spans="18:24">
      <c r="R1177" s="175"/>
      <c r="S1177" s="11"/>
      <c r="T1177" s="175"/>
      <c r="U1177" s="11"/>
      <c r="V1177" s="11"/>
      <c r="W1177" s="11"/>
      <c r="X1177" s="11"/>
    </row>
    <row r="1178" spans="18:24">
      <c r="R1178" s="175"/>
      <c r="S1178" s="11"/>
      <c r="T1178" s="175"/>
      <c r="U1178" s="11"/>
      <c r="V1178" s="11"/>
      <c r="W1178" s="11"/>
      <c r="X1178" s="11"/>
    </row>
    <row r="1179" spans="18:24">
      <c r="R1179" s="175"/>
      <c r="S1179" s="11"/>
      <c r="T1179" s="175"/>
      <c r="U1179" s="11"/>
      <c r="V1179" s="11"/>
      <c r="W1179" s="11"/>
      <c r="X1179" s="11"/>
    </row>
    <row r="1180" spans="18:24">
      <c r="R1180" s="175"/>
      <c r="S1180" s="11"/>
      <c r="T1180" s="175"/>
      <c r="U1180" s="11"/>
      <c r="V1180" s="11"/>
      <c r="W1180" s="11"/>
      <c r="X1180" s="11"/>
    </row>
    <row r="1181" spans="18:24">
      <c r="R1181" s="175"/>
      <c r="S1181" s="11"/>
      <c r="T1181" s="175"/>
      <c r="U1181" s="11"/>
      <c r="V1181" s="11"/>
      <c r="W1181" s="11"/>
      <c r="X1181" s="11"/>
    </row>
    <row r="1182" spans="18:24">
      <c r="R1182" s="175"/>
      <c r="S1182" s="11"/>
      <c r="T1182" s="175"/>
      <c r="U1182" s="11"/>
      <c r="V1182" s="11"/>
      <c r="W1182" s="11"/>
      <c r="X1182" s="11"/>
    </row>
    <row r="1183" spans="18:24">
      <c r="R1183" s="175"/>
      <c r="S1183" s="11"/>
      <c r="T1183" s="175"/>
      <c r="U1183" s="11"/>
      <c r="V1183" s="11"/>
      <c r="W1183" s="11"/>
      <c r="X1183" s="11"/>
    </row>
    <row r="1184" spans="18:24">
      <c r="R1184" s="175"/>
      <c r="S1184" s="11"/>
      <c r="T1184" s="175"/>
      <c r="U1184" s="11"/>
      <c r="V1184" s="11"/>
      <c r="W1184" s="11"/>
      <c r="X1184" s="11"/>
    </row>
    <row r="1185" spans="18:24">
      <c r="R1185" s="175"/>
      <c r="S1185" s="11"/>
      <c r="T1185" s="175"/>
      <c r="U1185" s="11"/>
      <c r="V1185" s="11"/>
      <c r="W1185" s="11"/>
      <c r="X1185" s="11"/>
    </row>
    <row r="1186" spans="18:24">
      <c r="R1186" s="175"/>
      <c r="S1186" s="11"/>
      <c r="T1186" s="175"/>
      <c r="U1186" s="11"/>
      <c r="V1186" s="11"/>
      <c r="W1186" s="11"/>
      <c r="X1186" s="11"/>
    </row>
    <row r="1187" spans="18:24">
      <c r="R1187" s="175"/>
      <c r="S1187" s="11"/>
      <c r="T1187" s="175"/>
      <c r="U1187" s="11"/>
      <c r="V1187" s="11"/>
      <c r="W1187" s="11"/>
      <c r="X1187" s="11"/>
    </row>
    <row r="1188" spans="18:24">
      <c r="R1188" s="175"/>
      <c r="S1188" s="11"/>
      <c r="T1188" s="175"/>
      <c r="U1188" s="11"/>
      <c r="V1188" s="11"/>
      <c r="W1188" s="11"/>
      <c r="X1188" s="11"/>
    </row>
    <row r="1189" spans="18:24">
      <c r="R1189" s="175"/>
      <c r="S1189" s="11"/>
      <c r="T1189" s="175"/>
      <c r="U1189" s="11"/>
      <c r="V1189" s="11"/>
      <c r="W1189" s="11"/>
      <c r="X1189" s="11"/>
    </row>
    <row r="1190" spans="18:24">
      <c r="R1190" s="175"/>
      <c r="S1190" s="11"/>
      <c r="T1190" s="175"/>
      <c r="U1190" s="11"/>
      <c r="V1190" s="11"/>
      <c r="W1190" s="11"/>
      <c r="X1190" s="11"/>
    </row>
    <row r="1191" spans="18:24">
      <c r="R1191" s="175"/>
      <c r="S1191" s="11"/>
      <c r="T1191" s="175"/>
      <c r="U1191" s="11"/>
      <c r="V1191" s="11"/>
      <c r="W1191" s="11"/>
      <c r="X1191" s="11"/>
    </row>
    <row r="1192" spans="18:24">
      <c r="R1192" s="175"/>
      <c r="S1192" s="11"/>
      <c r="T1192" s="175"/>
      <c r="U1192" s="11"/>
      <c r="V1192" s="11"/>
      <c r="W1192" s="11"/>
      <c r="X1192" s="11"/>
    </row>
    <row r="1193" spans="18:24">
      <c r="R1193" s="175"/>
      <c r="S1193" s="11"/>
      <c r="T1193" s="175"/>
      <c r="U1193" s="11"/>
      <c r="V1193" s="11"/>
      <c r="W1193" s="11"/>
      <c r="X1193" s="11"/>
    </row>
    <row r="1194" spans="18:24">
      <c r="R1194" s="175"/>
      <c r="S1194" s="11"/>
      <c r="T1194" s="175"/>
      <c r="U1194" s="11"/>
      <c r="V1194" s="11"/>
      <c r="W1194" s="11"/>
      <c r="X1194" s="11"/>
    </row>
    <row r="1195" spans="18:24">
      <c r="R1195" s="175"/>
      <c r="S1195" s="11"/>
      <c r="T1195" s="175"/>
      <c r="U1195" s="11"/>
      <c r="V1195" s="11"/>
      <c r="W1195" s="11"/>
      <c r="X1195" s="11"/>
    </row>
    <row r="1196" spans="18:24">
      <c r="R1196" s="175"/>
      <c r="S1196" s="11"/>
      <c r="T1196" s="175"/>
      <c r="U1196" s="11"/>
      <c r="V1196" s="11"/>
      <c r="W1196" s="11"/>
      <c r="X1196" s="11"/>
    </row>
    <row r="1197" spans="18:24">
      <c r="R1197" s="175"/>
      <c r="S1197" s="11"/>
      <c r="T1197" s="175"/>
      <c r="U1197" s="11"/>
      <c r="V1197" s="11"/>
      <c r="W1197" s="11"/>
      <c r="X1197" s="11"/>
    </row>
    <row r="1198" spans="18:24">
      <c r="R1198" s="175"/>
      <c r="S1198" s="11"/>
      <c r="T1198" s="175"/>
      <c r="U1198" s="11"/>
      <c r="V1198" s="11"/>
      <c r="W1198" s="11"/>
      <c r="X1198" s="11"/>
    </row>
    <row r="1199" spans="18:24">
      <c r="R1199" s="175"/>
      <c r="S1199" s="11"/>
      <c r="T1199" s="175"/>
      <c r="U1199" s="11"/>
      <c r="V1199" s="11"/>
      <c r="W1199" s="11"/>
      <c r="X1199" s="11"/>
    </row>
    <row r="1200" spans="18:24">
      <c r="R1200" s="175"/>
      <c r="S1200" s="11"/>
      <c r="T1200" s="175"/>
      <c r="U1200" s="11"/>
      <c r="V1200" s="11"/>
      <c r="W1200" s="11"/>
      <c r="X1200" s="11"/>
    </row>
    <row r="1201" spans="18:24">
      <c r="R1201" s="175"/>
      <c r="S1201" s="11"/>
      <c r="T1201" s="175"/>
      <c r="U1201" s="11"/>
      <c r="V1201" s="11"/>
      <c r="W1201" s="11"/>
      <c r="X1201" s="11"/>
    </row>
    <row r="1202" spans="18:24">
      <c r="R1202" s="175"/>
      <c r="S1202" s="11"/>
      <c r="T1202" s="175"/>
      <c r="U1202" s="11"/>
      <c r="V1202" s="11"/>
      <c r="W1202" s="11"/>
      <c r="X1202" s="11"/>
    </row>
    <row r="1203" spans="18:24">
      <c r="R1203" s="175"/>
      <c r="S1203" s="11"/>
      <c r="T1203" s="175"/>
      <c r="U1203" s="11"/>
      <c r="V1203" s="11"/>
      <c r="W1203" s="11"/>
      <c r="X1203" s="11"/>
    </row>
    <row r="1204" spans="18:24">
      <c r="R1204" s="175"/>
      <c r="S1204" s="11"/>
      <c r="T1204" s="175"/>
      <c r="U1204" s="11"/>
      <c r="V1204" s="11"/>
      <c r="W1204" s="11"/>
      <c r="X1204" s="11"/>
    </row>
    <row r="1205" spans="18:24">
      <c r="R1205" s="175"/>
      <c r="S1205" s="11"/>
      <c r="T1205" s="175"/>
      <c r="U1205" s="11"/>
      <c r="V1205" s="11"/>
      <c r="W1205" s="11"/>
      <c r="X1205" s="11"/>
    </row>
    <row r="1206" spans="18:24">
      <c r="R1206" s="175"/>
      <c r="S1206" s="11"/>
      <c r="T1206" s="175"/>
      <c r="U1206" s="11"/>
      <c r="V1206" s="11"/>
      <c r="W1206" s="11"/>
      <c r="X1206" s="11"/>
    </row>
    <row r="1207" spans="18:24">
      <c r="R1207" s="175"/>
      <c r="S1207" s="11"/>
      <c r="T1207" s="175"/>
      <c r="U1207" s="11"/>
      <c r="V1207" s="11"/>
      <c r="W1207" s="11"/>
      <c r="X1207" s="11"/>
    </row>
    <row r="1208" spans="18:24">
      <c r="R1208" s="175"/>
      <c r="S1208" s="11"/>
      <c r="T1208" s="175"/>
      <c r="U1208" s="11"/>
      <c r="V1208" s="11"/>
      <c r="W1208" s="11"/>
      <c r="X1208" s="11"/>
    </row>
    <row r="1209" spans="18:24">
      <c r="R1209" s="175"/>
      <c r="S1209" s="11"/>
      <c r="T1209" s="175"/>
      <c r="U1209" s="11"/>
      <c r="V1209" s="11"/>
      <c r="W1209" s="11"/>
      <c r="X1209" s="11"/>
    </row>
    <row r="1210" spans="18:24">
      <c r="R1210" s="175"/>
      <c r="S1210" s="11"/>
      <c r="T1210" s="175"/>
      <c r="U1210" s="11"/>
      <c r="V1210" s="11"/>
      <c r="W1210" s="11"/>
      <c r="X1210" s="11"/>
    </row>
    <row r="1211" spans="18:24">
      <c r="R1211" s="175"/>
      <c r="S1211" s="11"/>
      <c r="T1211" s="175"/>
      <c r="U1211" s="11"/>
      <c r="V1211" s="11"/>
      <c r="W1211" s="11"/>
      <c r="X1211" s="11"/>
    </row>
    <row r="1212" spans="18:24">
      <c r="R1212" s="175"/>
      <c r="S1212" s="11"/>
      <c r="T1212" s="175"/>
      <c r="U1212" s="11"/>
      <c r="V1212" s="11"/>
      <c r="W1212" s="11"/>
      <c r="X1212" s="11"/>
    </row>
    <row r="1213" spans="18:24">
      <c r="R1213" s="175"/>
      <c r="S1213" s="11"/>
      <c r="T1213" s="175"/>
      <c r="U1213" s="11"/>
      <c r="V1213" s="11"/>
      <c r="W1213" s="11"/>
      <c r="X1213" s="11"/>
    </row>
    <row r="1214" spans="18:24">
      <c r="R1214" s="175"/>
      <c r="S1214" s="11"/>
      <c r="T1214" s="175"/>
      <c r="U1214" s="11"/>
      <c r="V1214" s="11"/>
      <c r="W1214" s="11"/>
      <c r="X1214" s="11"/>
    </row>
    <row r="1215" spans="18:24">
      <c r="R1215" s="175"/>
      <c r="S1215" s="11"/>
      <c r="T1215" s="175"/>
      <c r="U1215" s="11"/>
      <c r="V1215" s="11"/>
      <c r="W1215" s="11"/>
      <c r="X1215" s="11"/>
    </row>
    <row r="1216" spans="18:24">
      <c r="R1216" s="175"/>
      <c r="S1216" s="11"/>
      <c r="T1216" s="175"/>
      <c r="U1216" s="11"/>
      <c r="V1216" s="11"/>
      <c r="W1216" s="11"/>
      <c r="X1216" s="11"/>
    </row>
    <row r="1217" spans="18:24">
      <c r="R1217" s="175"/>
      <c r="S1217" s="11"/>
      <c r="T1217" s="175"/>
      <c r="U1217" s="11"/>
      <c r="V1217" s="11"/>
      <c r="W1217" s="11"/>
      <c r="X1217" s="11"/>
    </row>
    <row r="1218" spans="18:24">
      <c r="R1218" s="175"/>
      <c r="S1218" s="11"/>
      <c r="T1218" s="175"/>
      <c r="U1218" s="11"/>
      <c r="V1218" s="11"/>
      <c r="W1218" s="11"/>
      <c r="X1218" s="11"/>
    </row>
    <row r="1219" spans="18:24">
      <c r="R1219" s="175"/>
      <c r="S1219" s="11"/>
      <c r="T1219" s="175"/>
      <c r="U1219" s="11"/>
      <c r="V1219" s="11"/>
      <c r="W1219" s="11"/>
      <c r="X1219" s="11"/>
    </row>
    <row r="1220" spans="18:24">
      <c r="R1220" s="175"/>
      <c r="S1220" s="11"/>
      <c r="T1220" s="175"/>
      <c r="U1220" s="11"/>
      <c r="V1220" s="11"/>
      <c r="W1220" s="11"/>
      <c r="X1220" s="11"/>
    </row>
    <row r="1221" spans="18:24">
      <c r="R1221" s="175"/>
      <c r="S1221" s="11"/>
      <c r="T1221" s="175"/>
      <c r="U1221" s="11"/>
      <c r="V1221" s="11"/>
      <c r="W1221" s="11"/>
      <c r="X1221" s="11"/>
    </row>
    <row r="1222" spans="18:24">
      <c r="R1222" s="175"/>
      <c r="S1222" s="11"/>
      <c r="T1222" s="175"/>
      <c r="U1222" s="11"/>
      <c r="V1222" s="11"/>
      <c r="W1222" s="11"/>
      <c r="X1222" s="11"/>
    </row>
    <row r="1223" spans="18:24">
      <c r="R1223" s="175"/>
      <c r="S1223" s="11"/>
      <c r="T1223" s="175"/>
      <c r="U1223" s="11"/>
      <c r="V1223" s="11"/>
      <c r="W1223" s="11"/>
      <c r="X1223" s="11"/>
    </row>
    <row r="1224" spans="18:24">
      <c r="R1224" s="175"/>
      <c r="S1224" s="11"/>
      <c r="T1224" s="175"/>
      <c r="U1224" s="11"/>
      <c r="V1224" s="11"/>
      <c r="W1224" s="11"/>
      <c r="X1224" s="11"/>
    </row>
    <row r="1225" spans="18:24">
      <c r="R1225" s="175"/>
      <c r="S1225" s="11"/>
      <c r="T1225" s="175"/>
      <c r="U1225" s="11"/>
      <c r="V1225" s="11"/>
      <c r="W1225" s="11"/>
      <c r="X1225" s="11"/>
    </row>
    <row r="1226" spans="18:24">
      <c r="R1226" s="175"/>
      <c r="S1226" s="11"/>
      <c r="T1226" s="175"/>
      <c r="U1226" s="11"/>
      <c r="V1226" s="11"/>
      <c r="W1226" s="11"/>
      <c r="X1226" s="11"/>
    </row>
    <row r="1227" spans="18:24">
      <c r="R1227" s="175"/>
      <c r="S1227" s="11"/>
      <c r="T1227" s="175"/>
      <c r="U1227" s="11"/>
      <c r="V1227" s="11"/>
      <c r="W1227" s="11"/>
      <c r="X1227" s="11"/>
    </row>
    <row r="1228" spans="18:24">
      <c r="R1228" s="175"/>
      <c r="S1228" s="11"/>
      <c r="T1228" s="175"/>
      <c r="U1228" s="11"/>
      <c r="V1228" s="11"/>
      <c r="W1228" s="11"/>
      <c r="X1228" s="11"/>
    </row>
    <row r="1229" spans="18:24">
      <c r="R1229" s="175"/>
      <c r="S1229" s="11"/>
      <c r="T1229" s="175"/>
      <c r="U1229" s="11"/>
      <c r="V1229" s="11"/>
      <c r="W1229" s="11"/>
      <c r="X1229" s="11"/>
    </row>
    <row r="1230" spans="18:24">
      <c r="R1230" s="175"/>
      <c r="S1230" s="11"/>
      <c r="T1230" s="175"/>
      <c r="U1230" s="11"/>
      <c r="V1230" s="11"/>
      <c r="W1230" s="11"/>
      <c r="X1230" s="11"/>
    </row>
    <row r="1231" spans="18:24">
      <c r="R1231" s="175"/>
      <c r="S1231" s="11"/>
      <c r="T1231" s="175"/>
      <c r="U1231" s="11"/>
      <c r="V1231" s="11"/>
      <c r="W1231" s="11"/>
      <c r="X1231" s="11"/>
    </row>
    <row r="1232" spans="18:24">
      <c r="R1232" s="175"/>
      <c r="S1232" s="11"/>
      <c r="T1232" s="175"/>
      <c r="U1232" s="11"/>
      <c r="V1232" s="11"/>
      <c r="W1232" s="11"/>
      <c r="X1232" s="11"/>
    </row>
    <row r="1233" spans="18:24">
      <c r="R1233" s="175"/>
      <c r="S1233" s="11"/>
      <c r="T1233" s="175"/>
      <c r="U1233" s="11"/>
      <c r="V1233" s="11"/>
      <c r="W1233" s="11"/>
      <c r="X1233" s="11"/>
    </row>
    <row r="1234" spans="18:24">
      <c r="R1234" s="175"/>
      <c r="S1234" s="11"/>
      <c r="T1234" s="175"/>
      <c r="U1234" s="11"/>
      <c r="V1234" s="11"/>
      <c r="W1234" s="11"/>
      <c r="X1234" s="11"/>
    </row>
    <row r="1235" spans="18:24">
      <c r="R1235" s="175"/>
      <c r="S1235" s="11"/>
      <c r="T1235" s="175"/>
      <c r="U1235" s="11"/>
      <c r="V1235" s="11"/>
      <c r="W1235" s="11"/>
      <c r="X1235" s="11"/>
    </row>
    <row r="1236" spans="18:24">
      <c r="R1236" s="175"/>
      <c r="S1236" s="11"/>
      <c r="T1236" s="175"/>
      <c r="U1236" s="11"/>
      <c r="V1236" s="11"/>
      <c r="W1236" s="11"/>
      <c r="X1236" s="11"/>
    </row>
    <row r="1237" spans="18:24">
      <c r="R1237" s="175"/>
      <c r="S1237" s="11"/>
      <c r="T1237" s="175"/>
      <c r="U1237" s="11"/>
      <c r="V1237" s="11"/>
      <c r="W1237" s="11"/>
      <c r="X1237" s="11"/>
    </row>
    <row r="1238" spans="18:24">
      <c r="R1238" s="175"/>
      <c r="S1238" s="11"/>
      <c r="T1238" s="175"/>
      <c r="U1238" s="11"/>
      <c r="V1238" s="11"/>
      <c r="W1238" s="11"/>
      <c r="X1238" s="11"/>
    </row>
    <row r="1239" spans="18:24">
      <c r="R1239" s="175"/>
      <c r="S1239" s="11"/>
      <c r="T1239" s="175"/>
      <c r="U1239" s="11"/>
      <c r="V1239" s="11"/>
      <c r="W1239" s="11"/>
      <c r="X1239" s="11"/>
    </row>
    <row r="1240" spans="18:24">
      <c r="R1240" s="175"/>
      <c r="S1240" s="11"/>
      <c r="T1240" s="175"/>
      <c r="U1240" s="11"/>
      <c r="V1240" s="11"/>
      <c r="W1240" s="11"/>
      <c r="X1240" s="11"/>
    </row>
    <row r="1241" spans="18:24">
      <c r="R1241" s="175"/>
      <c r="S1241" s="11"/>
      <c r="T1241" s="175"/>
      <c r="U1241" s="11"/>
      <c r="V1241" s="11"/>
      <c r="W1241" s="11"/>
      <c r="X1241" s="11"/>
    </row>
    <row r="1242" spans="18:24">
      <c r="R1242" s="175"/>
      <c r="S1242" s="11"/>
      <c r="T1242" s="175"/>
      <c r="U1242" s="11"/>
      <c r="V1242" s="11"/>
      <c r="W1242" s="11"/>
      <c r="X1242" s="11"/>
    </row>
    <row r="1243" spans="18:24">
      <c r="R1243" s="175"/>
      <c r="S1243" s="11"/>
      <c r="T1243" s="175"/>
      <c r="U1243" s="11"/>
      <c r="V1243" s="11"/>
      <c r="W1243" s="11"/>
      <c r="X1243" s="11"/>
    </row>
    <row r="1244" spans="18:24">
      <c r="R1244" s="175"/>
      <c r="S1244" s="11"/>
      <c r="T1244" s="175"/>
      <c r="U1244" s="11"/>
      <c r="V1244" s="11"/>
      <c r="W1244" s="11"/>
      <c r="X1244" s="11"/>
    </row>
    <row r="1245" spans="18:24">
      <c r="R1245" s="175"/>
      <c r="S1245" s="11"/>
      <c r="T1245" s="175"/>
      <c r="U1245" s="11"/>
      <c r="V1245" s="11"/>
      <c r="W1245" s="11"/>
      <c r="X1245" s="11"/>
    </row>
    <row r="1246" spans="18:24">
      <c r="R1246" s="175"/>
      <c r="S1246" s="11"/>
      <c r="T1246" s="175"/>
      <c r="U1246" s="11"/>
      <c r="V1246" s="11"/>
      <c r="W1246" s="11"/>
      <c r="X1246" s="11"/>
    </row>
    <row r="1247" spans="18:24">
      <c r="R1247" s="175"/>
      <c r="S1247" s="11"/>
      <c r="T1247" s="175"/>
      <c r="U1247" s="11"/>
      <c r="V1247" s="11"/>
      <c r="W1247" s="11"/>
      <c r="X1247" s="11"/>
    </row>
    <row r="1248" spans="18:24">
      <c r="R1248" s="175"/>
      <c r="S1248" s="11"/>
      <c r="T1248" s="175"/>
      <c r="U1248" s="11"/>
      <c r="V1248" s="11"/>
      <c r="W1248" s="11"/>
      <c r="X1248" s="11"/>
    </row>
    <row r="1249" spans="18:24">
      <c r="R1249" s="175"/>
      <c r="S1249" s="11"/>
      <c r="T1249" s="175"/>
      <c r="U1249" s="11"/>
      <c r="V1249" s="11"/>
      <c r="W1249" s="11"/>
      <c r="X1249" s="11"/>
    </row>
    <row r="1250" spans="18:24">
      <c r="R1250" s="175"/>
      <c r="S1250" s="11"/>
      <c r="T1250" s="175"/>
      <c r="U1250" s="11"/>
      <c r="V1250" s="11"/>
      <c r="W1250" s="11"/>
      <c r="X1250" s="11"/>
    </row>
    <row r="1251" spans="18:24">
      <c r="R1251" s="175"/>
      <c r="S1251" s="11"/>
      <c r="T1251" s="175"/>
      <c r="U1251" s="11"/>
      <c r="V1251" s="11"/>
      <c r="W1251" s="11"/>
      <c r="X1251" s="11"/>
    </row>
    <row r="1252" spans="18:24">
      <c r="R1252" s="175"/>
      <c r="S1252" s="11"/>
      <c r="T1252" s="175"/>
      <c r="U1252" s="11"/>
      <c r="V1252" s="11"/>
      <c r="W1252" s="11"/>
      <c r="X1252" s="11"/>
    </row>
    <row r="1253" spans="18:24">
      <c r="R1253" s="175"/>
      <c r="S1253" s="11"/>
      <c r="T1253" s="175"/>
      <c r="U1253" s="11"/>
      <c r="V1253" s="11"/>
      <c r="W1253" s="11"/>
      <c r="X1253" s="11"/>
    </row>
    <row r="1254" spans="18:24">
      <c r="R1254" s="175"/>
      <c r="S1254" s="11"/>
      <c r="T1254" s="175"/>
      <c r="U1254" s="11"/>
      <c r="V1254" s="11"/>
      <c r="W1254" s="11"/>
      <c r="X1254" s="11"/>
    </row>
    <row r="1255" spans="18:24">
      <c r="R1255" s="175"/>
      <c r="S1255" s="11"/>
      <c r="T1255" s="175"/>
      <c r="U1255" s="11"/>
      <c r="V1255" s="11"/>
      <c r="W1255" s="11"/>
      <c r="X1255" s="11"/>
    </row>
    <row r="1256" spans="18:24">
      <c r="R1256" s="175"/>
      <c r="S1256" s="11"/>
      <c r="T1256" s="175"/>
      <c r="U1256" s="11"/>
      <c r="V1256" s="11"/>
      <c r="W1256" s="11"/>
      <c r="X1256" s="11"/>
    </row>
    <row r="1257" spans="18:24">
      <c r="R1257" s="175"/>
      <c r="S1257" s="11"/>
      <c r="T1257" s="175"/>
      <c r="U1257" s="11"/>
      <c r="V1257" s="11"/>
      <c r="W1257" s="11"/>
      <c r="X1257" s="11"/>
    </row>
    <row r="1258" spans="18:24">
      <c r="R1258" s="175"/>
      <c r="S1258" s="11"/>
      <c r="T1258" s="175"/>
      <c r="U1258" s="11"/>
      <c r="V1258" s="11"/>
      <c r="W1258" s="11"/>
      <c r="X1258" s="11"/>
    </row>
    <row r="1259" spans="18:24">
      <c r="R1259" s="175"/>
      <c r="S1259" s="11"/>
      <c r="T1259" s="175"/>
      <c r="U1259" s="11"/>
      <c r="V1259" s="11"/>
      <c r="W1259" s="11"/>
      <c r="X1259" s="11"/>
    </row>
    <row r="1260" spans="18:24">
      <c r="R1260" s="175"/>
      <c r="S1260" s="11"/>
      <c r="T1260" s="175"/>
      <c r="U1260" s="11"/>
      <c r="V1260" s="11"/>
      <c r="W1260" s="11"/>
      <c r="X1260" s="11"/>
    </row>
    <row r="1261" spans="18:24">
      <c r="R1261" s="175"/>
      <c r="S1261" s="11"/>
      <c r="T1261" s="175"/>
      <c r="U1261" s="11"/>
      <c r="V1261" s="11"/>
      <c r="W1261" s="11"/>
      <c r="X1261" s="11"/>
    </row>
    <row r="1262" spans="18:24">
      <c r="R1262" s="175"/>
      <c r="S1262" s="11"/>
      <c r="T1262" s="175"/>
      <c r="U1262" s="11"/>
      <c r="V1262" s="11"/>
      <c r="W1262" s="11"/>
      <c r="X1262" s="11"/>
    </row>
    <row r="1263" spans="18:24">
      <c r="R1263" s="175"/>
      <c r="S1263" s="11"/>
      <c r="T1263" s="175"/>
      <c r="U1263" s="11"/>
      <c r="V1263" s="11"/>
      <c r="W1263" s="11"/>
      <c r="X1263" s="11"/>
    </row>
    <row r="1264" spans="18:24">
      <c r="R1264" s="175"/>
      <c r="S1264" s="11"/>
      <c r="T1264" s="175"/>
      <c r="U1264" s="11"/>
      <c r="V1264" s="11"/>
      <c r="W1264" s="11"/>
      <c r="X1264" s="11"/>
    </row>
    <row r="1265" spans="18:24">
      <c r="R1265" s="175"/>
      <c r="S1265" s="11"/>
      <c r="T1265" s="175"/>
      <c r="U1265" s="11"/>
      <c r="V1265" s="11"/>
      <c r="W1265" s="11"/>
      <c r="X1265" s="11"/>
    </row>
    <row r="1266" spans="18:24">
      <c r="R1266" s="175"/>
      <c r="S1266" s="11"/>
      <c r="T1266" s="175"/>
      <c r="U1266" s="11"/>
      <c r="V1266" s="11"/>
      <c r="W1266" s="11"/>
      <c r="X1266" s="11"/>
    </row>
    <row r="1267" spans="18:24">
      <c r="R1267" s="175"/>
      <c r="S1267" s="11"/>
      <c r="T1267" s="175"/>
      <c r="U1267" s="11"/>
      <c r="V1267" s="11"/>
      <c r="W1267" s="11"/>
      <c r="X1267" s="11"/>
    </row>
    <row r="1268" spans="18:24">
      <c r="R1268" s="175"/>
      <c r="S1268" s="11"/>
      <c r="T1268" s="175"/>
      <c r="U1268" s="11"/>
      <c r="V1268" s="11"/>
      <c r="W1268" s="11"/>
      <c r="X1268" s="11"/>
    </row>
    <row r="1269" spans="18:24">
      <c r="R1269" s="175"/>
      <c r="S1269" s="11"/>
      <c r="T1269" s="175"/>
      <c r="U1269" s="11"/>
      <c r="V1269" s="11"/>
      <c r="W1269" s="11"/>
      <c r="X1269" s="11"/>
    </row>
    <row r="1270" spans="18:24">
      <c r="R1270" s="175"/>
      <c r="S1270" s="11"/>
      <c r="T1270" s="175"/>
      <c r="U1270" s="11"/>
      <c r="V1270" s="11"/>
      <c r="W1270" s="11"/>
      <c r="X1270" s="11"/>
    </row>
    <row r="1271" spans="18:24">
      <c r="R1271" s="175"/>
      <c r="S1271" s="11"/>
      <c r="T1271" s="175"/>
      <c r="U1271" s="11"/>
      <c r="V1271" s="11"/>
      <c r="W1271" s="11"/>
      <c r="X1271" s="11"/>
    </row>
    <row r="1272" spans="18:24">
      <c r="R1272" s="175"/>
      <c r="S1272" s="11"/>
      <c r="T1272" s="175"/>
      <c r="U1272" s="11"/>
      <c r="V1272" s="11"/>
      <c r="W1272" s="11"/>
      <c r="X1272" s="11"/>
    </row>
    <row r="1273" spans="18:24">
      <c r="R1273" s="175"/>
      <c r="S1273" s="11"/>
      <c r="T1273" s="175"/>
      <c r="U1273" s="11"/>
      <c r="V1273" s="11"/>
      <c r="W1273" s="11"/>
      <c r="X1273" s="11"/>
    </row>
    <row r="1274" spans="18:24">
      <c r="R1274" s="175"/>
      <c r="S1274" s="11"/>
      <c r="T1274" s="175"/>
      <c r="U1274" s="11"/>
      <c r="V1274" s="11"/>
      <c r="W1274" s="11"/>
      <c r="X1274" s="11"/>
    </row>
    <row r="1275" spans="18:24">
      <c r="R1275" s="175"/>
      <c r="S1275" s="11"/>
      <c r="T1275" s="175"/>
      <c r="U1275" s="11"/>
      <c r="V1275" s="11"/>
      <c r="W1275" s="11"/>
      <c r="X1275" s="11"/>
    </row>
    <row r="1276" spans="18:24">
      <c r="R1276" s="175"/>
      <c r="S1276" s="11"/>
      <c r="T1276" s="175"/>
      <c r="U1276" s="11"/>
      <c r="V1276" s="11"/>
      <c r="W1276" s="11"/>
      <c r="X1276" s="11"/>
    </row>
    <row r="1277" spans="18:24">
      <c r="R1277" s="175"/>
      <c r="S1277" s="11"/>
      <c r="T1277" s="175"/>
      <c r="U1277" s="11"/>
      <c r="V1277" s="11"/>
      <c r="W1277" s="11"/>
      <c r="X1277" s="11"/>
    </row>
    <row r="1278" spans="18:24">
      <c r="R1278" s="175"/>
      <c r="S1278" s="11"/>
      <c r="T1278" s="175"/>
      <c r="U1278" s="11"/>
      <c r="V1278" s="11"/>
      <c r="W1278" s="11"/>
      <c r="X1278" s="11"/>
    </row>
    <row r="1279" spans="18:24">
      <c r="R1279" s="175"/>
      <c r="S1279" s="11"/>
      <c r="T1279" s="175"/>
      <c r="U1279" s="11"/>
      <c r="V1279" s="11"/>
      <c r="W1279" s="11"/>
      <c r="X1279" s="11"/>
    </row>
    <row r="1280" spans="18:24">
      <c r="R1280" s="175"/>
      <c r="S1280" s="11"/>
      <c r="T1280" s="175"/>
      <c r="U1280" s="11"/>
      <c r="V1280" s="11"/>
      <c r="W1280" s="11"/>
      <c r="X1280" s="11"/>
    </row>
    <row r="1281" spans="18:24">
      <c r="R1281" s="175"/>
      <c r="S1281" s="11"/>
      <c r="T1281" s="175"/>
      <c r="U1281" s="11"/>
      <c r="V1281" s="11"/>
      <c r="W1281" s="11"/>
      <c r="X1281" s="11"/>
    </row>
    <row r="1282" spans="18:24">
      <c r="R1282" s="175"/>
      <c r="S1282" s="11"/>
      <c r="T1282" s="175"/>
      <c r="U1282" s="11"/>
      <c r="V1282" s="11"/>
      <c r="W1282" s="11"/>
      <c r="X1282" s="11"/>
    </row>
    <row r="1283" spans="18:24">
      <c r="R1283" s="175"/>
      <c r="S1283" s="11"/>
      <c r="T1283" s="175"/>
      <c r="U1283" s="11"/>
      <c r="V1283" s="11"/>
      <c r="W1283" s="11"/>
      <c r="X1283" s="11"/>
    </row>
    <row r="1284" spans="18:24">
      <c r="R1284" s="175"/>
      <c r="S1284" s="11"/>
      <c r="T1284" s="175"/>
      <c r="U1284" s="11"/>
      <c r="V1284" s="11"/>
      <c r="W1284" s="11"/>
      <c r="X1284" s="11"/>
    </row>
    <row r="1285" spans="18:24">
      <c r="R1285" s="175"/>
      <c r="S1285" s="11"/>
      <c r="T1285" s="175"/>
      <c r="U1285" s="11"/>
      <c r="V1285" s="11"/>
      <c r="W1285" s="11"/>
      <c r="X1285" s="11"/>
    </row>
    <row r="1286" spans="18:24">
      <c r="R1286" s="175"/>
      <c r="S1286" s="11"/>
      <c r="T1286" s="175"/>
      <c r="U1286" s="11"/>
      <c r="V1286" s="11"/>
      <c r="W1286" s="11"/>
      <c r="X1286" s="11"/>
    </row>
    <row r="1287" spans="18:24">
      <c r="R1287" s="175"/>
      <c r="S1287" s="11"/>
      <c r="T1287" s="175"/>
      <c r="U1287" s="11"/>
      <c r="V1287" s="11"/>
      <c r="W1287" s="11"/>
      <c r="X1287" s="11"/>
    </row>
    <row r="1288" spans="18:24">
      <c r="R1288" s="175"/>
      <c r="S1288" s="11"/>
      <c r="T1288" s="175"/>
      <c r="U1288" s="11"/>
      <c r="V1288" s="11"/>
      <c r="W1288" s="11"/>
      <c r="X1288" s="11"/>
    </row>
    <row r="1289" spans="18:24">
      <c r="R1289" s="175"/>
      <c r="S1289" s="11"/>
      <c r="T1289" s="175"/>
      <c r="U1289" s="11"/>
      <c r="V1289" s="11"/>
      <c r="W1289" s="11"/>
      <c r="X1289" s="11"/>
    </row>
    <row r="1290" spans="18:24">
      <c r="R1290" s="175"/>
      <c r="S1290" s="11"/>
      <c r="T1290" s="175"/>
      <c r="U1290" s="11"/>
      <c r="V1290" s="11"/>
      <c r="W1290" s="11"/>
      <c r="X1290" s="11"/>
    </row>
    <row r="1291" spans="18:24">
      <c r="R1291" s="175"/>
      <c r="S1291" s="11"/>
      <c r="T1291" s="175"/>
      <c r="U1291" s="11"/>
      <c r="V1291" s="11"/>
      <c r="W1291" s="11"/>
      <c r="X1291" s="11"/>
    </row>
    <row r="1292" spans="18:24">
      <c r="R1292" s="175"/>
      <c r="S1292" s="11"/>
      <c r="T1292" s="175"/>
      <c r="U1292" s="11"/>
      <c r="V1292" s="11"/>
      <c r="W1292" s="11"/>
      <c r="X1292" s="11"/>
    </row>
    <row r="1293" spans="18:24">
      <c r="R1293" s="175"/>
      <c r="S1293" s="11"/>
      <c r="T1293" s="175"/>
      <c r="U1293" s="11"/>
      <c r="V1293" s="11"/>
      <c r="W1293" s="11"/>
      <c r="X1293" s="11"/>
    </row>
    <row r="1294" spans="18:24">
      <c r="R1294" s="175"/>
      <c r="S1294" s="11"/>
      <c r="T1294" s="175"/>
      <c r="U1294" s="11"/>
      <c r="V1294" s="11"/>
      <c r="W1294" s="11"/>
      <c r="X1294" s="11"/>
    </row>
    <row r="1295" spans="18:24">
      <c r="R1295" s="175"/>
      <c r="S1295" s="11"/>
      <c r="T1295" s="175"/>
      <c r="U1295" s="11"/>
      <c r="V1295" s="11"/>
      <c r="W1295" s="11"/>
      <c r="X1295" s="11"/>
    </row>
    <row r="1296" spans="18:24">
      <c r="R1296" s="175"/>
      <c r="S1296" s="11"/>
      <c r="T1296" s="175"/>
      <c r="U1296" s="11"/>
      <c r="V1296" s="11"/>
      <c r="W1296" s="11"/>
      <c r="X1296" s="11"/>
    </row>
    <row r="1297" spans="18:24">
      <c r="R1297" s="175"/>
      <c r="S1297" s="11"/>
      <c r="T1297" s="175"/>
      <c r="U1297" s="11"/>
      <c r="V1297" s="11"/>
      <c r="W1297" s="11"/>
      <c r="X1297" s="11"/>
    </row>
    <row r="1298" spans="18:24">
      <c r="R1298" s="175"/>
      <c r="S1298" s="11"/>
      <c r="T1298" s="175"/>
      <c r="U1298" s="11"/>
      <c r="V1298" s="11"/>
      <c r="W1298" s="11"/>
      <c r="X1298" s="11"/>
    </row>
    <row r="1299" spans="18:24">
      <c r="R1299" s="175"/>
      <c r="S1299" s="11"/>
      <c r="T1299" s="175"/>
      <c r="U1299" s="11"/>
      <c r="V1299" s="11"/>
      <c r="W1299" s="11"/>
      <c r="X1299" s="11"/>
    </row>
    <row r="1300" spans="18:24">
      <c r="R1300" s="175"/>
      <c r="S1300" s="11"/>
      <c r="T1300" s="175"/>
      <c r="U1300" s="11"/>
      <c r="V1300" s="11"/>
      <c r="W1300" s="11"/>
      <c r="X1300" s="11"/>
    </row>
    <row r="1301" spans="18:24">
      <c r="R1301" s="175"/>
      <c r="S1301" s="11"/>
      <c r="T1301" s="175"/>
      <c r="U1301" s="11"/>
      <c r="V1301" s="11"/>
      <c r="W1301" s="11"/>
      <c r="X1301" s="11"/>
    </row>
    <row r="1302" spans="18:24">
      <c r="R1302" s="175"/>
      <c r="S1302" s="11"/>
      <c r="T1302" s="175"/>
      <c r="U1302" s="11"/>
      <c r="V1302" s="11"/>
      <c r="W1302" s="11"/>
      <c r="X1302" s="11"/>
    </row>
    <row r="1303" spans="18:24">
      <c r="R1303" s="175"/>
      <c r="S1303" s="11"/>
      <c r="T1303" s="175"/>
      <c r="U1303" s="11"/>
      <c r="V1303" s="11"/>
      <c r="W1303" s="11"/>
      <c r="X1303" s="11"/>
    </row>
    <row r="1304" spans="18:24">
      <c r="R1304" s="175"/>
      <c r="S1304" s="11"/>
      <c r="T1304" s="175"/>
      <c r="U1304" s="11"/>
      <c r="V1304" s="11"/>
      <c r="W1304" s="11"/>
      <c r="X1304" s="11"/>
    </row>
    <row r="1305" spans="18:24">
      <c r="R1305" s="175"/>
      <c r="S1305" s="11"/>
      <c r="T1305" s="175"/>
      <c r="U1305" s="11"/>
      <c r="V1305" s="11"/>
      <c r="W1305" s="11"/>
      <c r="X1305" s="11"/>
    </row>
    <row r="1306" spans="18:24">
      <c r="R1306" s="175"/>
      <c r="S1306" s="11"/>
      <c r="T1306" s="175"/>
      <c r="U1306" s="11"/>
      <c r="V1306" s="11"/>
      <c r="W1306" s="11"/>
      <c r="X1306" s="11"/>
    </row>
    <row r="1307" spans="18:24">
      <c r="R1307" s="175"/>
      <c r="S1307" s="11"/>
      <c r="T1307" s="175"/>
      <c r="U1307" s="11"/>
      <c r="V1307" s="11"/>
      <c r="W1307" s="11"/>
      <c r="X1307" s="11"/>
    </row>
    <row r="1308" spans="18:24">
      <c r="R1308" s="175"/>
      <c r="S1308" s="11"/>
      <c r="T1308" s="175"/>
      <c r="U1308" s="11"/>
      <c r="V1308" s="11"/>
      <c r="W1308" s="11"/>
      <c r="X1308" s="11"/>
    </row>
    <row r="1309" spans="18:24">
      <c r="R1309" s="175"/>
      <c r="S1309" s="11"/>
      <c r="T1309" s="175"/>
      <c r="U1309" s="11"/>
      <c r="V1309" s="11"/>
      <c r="W1309" s="11"/>
      <c r="X1309" s="11"/>
    </row>
    <row r="1310" spans="18:24">
      <c r="R1310" s="175"/>
      <c r="S1310" s="11"/>
      <c r="T1310" s="175"/>
      <c r="U1310" s="11"/>
      <c r="V1310" s="11"/>
      <c r="W1310" s="11"/>
      <c r="X1310" s="11"/>
    </row>
    <row r="1311" spans="18:24">
      <c r="R1311" s="175"/>
      <c r="S1311" s="11"/>
      <c r="T1311" s="175"/>
      <c r="U1311" s="11"/>
      <c r="V1311" s="11"/>
      <c r="W1311" s="11"/>
      <c r="X1311" s="11"/>
    </row>
    <row r="1312" spans="18:24">
      <c r="R1312" s="175"/>
      <c r="S1312" s="11"/>
      <c r="T1312" s="175"/>
      <c r="U1312" s="11"/>
      <c r="V1312" s="11"/>
      <c r="W1312" s="11"/>
      <c r="X1312" s="11"/>
    </row>
    <row r="1313" spans="18:24">
      <c r="R1313" s="175"/>
      <c r="S1313" s="11"/>
      <c r="T1313" s="175"/>
      <c r="U1313" s="11"/>
      <c r="V1313" s="11"/>
      <c r="W1313" s="11"/>
      <c r="X1313" s="11"/>
    </row>
    <row r="1314" spans="18:24">
      <c r="R1314" s="175"/>
      <c r="S1314" s="11"/>
      <c r="T1314" s="175"/>
      <c r="U1314" s="11"/>
      <c r="V1314" s="11"/>
      <c r="W1314" s="11"/>
      <c r="X1314" s="11"/>
    </row>
    <row r="1315" spans="18:24">
      <c r="R1315" s="175"/>
      <c r="S1315" s="11"/>
      <c r="T1315" s="175"/>
      <c r="U1315" s="11"/>
      <c r="V1315" s="11"/>
      <c r="W1315" s="11"/>
      <c r="X1315" s="11"/>
    </row>
    <row r="1316" spans="18:24">
      <c r="R1316" s="175"/>
      <c r="S1316" s="11"/>
      <c r="T1316" s="175"/>
      <c r="U1316" s="11"/>
      <c r="V1316" s="11"/>
      <c r="W1316" s="11"/>
      <c r="X1316" s="11"/>
    </row>
    <row r="1317" spans="18:24">
      <c r="R1317" s="175"/>
      <c r="S1317" s="11"/>
      <c r="T1317" s="175"/>
      <c r="U1317" s="11"/>
      <c r="V1317" s="11"/>
      <c r="W1317" s="11"/>
      <c r="X1317" s="11"/>
    </row>
    <row r="1318" spans="18:24">
      <c r="R1318" s="175"/>
      <c r="S1318" s="11"/>
      <c r="T1318" s="175"/>
      <c r="U1318" s="11"/>
      <c r="V1318" s="11"/>
      <c r="W1318" s="11"/>
      <c r="X1318" s="11"/>
    </row>
    <row r="1319" spans="18:24">
      <c r="R1319" s="175"/>
      <c r="S1319" s="11"/>
      <c r="T1319" s="175"/>
      <c r="U1319" s="11"/>
      <c r="V1319" s="11"/>
      <c r="W1319" s="11"/>
      <c r="X1319" s="11"/>
    </row>
    <row r="1320" spans="18:24">
      <c r="R1320" s="175"/>
      <c r="S1320" s="11"/>
      <c r="T1320" s="175"/>
      <c r="U1320" s="11"/>
      <c r="V1320" s="11"/>
      <c r="W1320" s="11"/>
      <c r="X1320" s="11"/>
    </row>
    <row r="1321" spans="18:24">
      <c r="R1321" s="175"/>
      <c r="S1321" s="11"/>
      <c r="T1321" s="175"/>
      <c r="U1321" s="11"/>
      <c r="V1321" s="11"/>
      <c r="W1321" s="11"/>
      <c r="X1321" s="11"/>
    </row>
    <row r="1322" spans="18:24">
      <c r="R1322" s="175"/>
      <c r="S1322" s="11"/>
      <c r="T1322" s="175"/>
      <c r="U1322" s="11"/>
      <c r="V1322" s="11"/>
      <c r="W1322" s="11"/>
      <c r="X1322" s="11"/>
    </row>
    <row r="1323" spans="18:24">
      <c r="R1323" s="175"/>
      <c r="S1323" s="11"/>
      <c r="T1323" s="175"/>
      <c r="U1323" s="11"/>
      <c r="V1323" s="11"/>
      <c r="W1323" s="11"/>
      <c r="X1323" s="11"/>
    </row>
    <row r="1324" spans="18:24">
      <c r="R1324" s="175"/>
      <c r="S1324" s="11"/>
      <c r="T1324" s="175"/>
      <c r="U1324" s="11"/>
      <c r="V1324" s="11"/>
      <c r="W1324" s="11"/>
      <c r="X1324" s="11"/>
    </row>
    <row r="1325" spans="18:24">
      <c r="R1325" s="175"/>
      <c r="S1325" s="11"/>
      <c r="T1325" s="175"/>
      <c r="U1325" s="11"/>
      <c r="V1325" s="11"/>
      <c r="W1325" s="11"/>
      <c r="X1325" s="11"/>
    </row>
    <row r="1326" spans="18:24">
      <c r="R1326" s="175"/>
      <c r="S1326" s="11"/>
      <c r="T1326" s="175"/>
      <c r="U1326" s="11"/>
      <c r="V1326" s="11"/>
      <c r="W1326" s="11"/>
      <c r="X1326" s="11"/>
    </row>
    <row r="1327" spans="18:24">
      <c r="R1327" s="175"/>
      <c r="S1327" s="11"/>
      <c r="T1327" s="175"/>
      <c r="U1327" s="11"/>
      <c r="V1327" s="11"/>
      <c r="W1327" s="11"/>
      <c r="X1327" s="11"/>
    </row>
    <row r="1328" spans="18:24">
      <c r="R1328" s="175"/>
      <c r="S1328" s="11"/>
      <c r="T1328" s="175"/>
      <c r="U1328" s="11"/>
      <c r="V1328" s="11"/>
      <c r="W1328" s="11"/>
      <c r="X1328" s="11"/>
    </row>
    <row r="1329" spans="18:24">
      <c r="R1329" s="175"/>
      <c r="S1329" s="11"/>
      <c r="T1329" s="175"/>
      <c r="U1329" s="11"/>
      <c r="V1329" s="11"/>
      <c r="W1329" s="11"/>
      <c r="X1329" s="11"/>
    </row>
    <row r="1330" spans="18:24">
      <c r="R1330" s="175"/>
      <c r="S1330" s="11"/>
      <c r="T1330" s="175"/>
      <c r="U1330" s="11"/>
      <c r="V1330" s="11"/>
      <c r="W1330" s="11"/>
      <c r="X1330" s="11"/>
    </row>
    <row r="1331" spans="18:24">
      <c r="R1331" s="175"/>
      <c r="S1331" s="11"/>
      <c r="T1331" s="175"/>
      <c r="U1331" s="11"/>
      <c r="V1331" s="11"/>
      <c r="W1331" s="11"/>
      <c r="X1331" s="11"/>
    </row>
    <row r="1332" spans="18:24">
      <c r="R1332" s="175"/>
      <c r="S1332" s="11"/>
      <c r="T1332" s="175"/>
      <c r="U1332" s="11"/>
      <c r="V1332" s="11"/>
      <c r="W1332" s="11"/>
      <c r="X1332" s="11"/>
    </row>
    <row r="1333" spans="18:24">
      <c r="R1333" s="175"/>
      <c r="S1333" s="11"/>
      <c r="T1333" s="175"/>
      <c r="U1333" s="11"/>
      <c r="V1333" s="11"/>
      <c r="W1333" s="11"/>
      <c r="X1333" s="11"/>
    </row>
    <row r="1334" spans="18:24">
      <c r="R1334" s="175"/>
      <c r="S1334" s="11"/>
      <c r="T1334" s="175"/>
      <c r="U1334" s="11"/>
      <c r="V1334" s="11"/>
      <c r="W1334" s="11"/>
      <c r="X1334" s="11"/>
    </row>
    <row r="1335" spans="18:24">
      <c r="R1335" s="175"/>
      <c r="S1335" s="11"/>
      <c r="T1335" s="175"/>
      <c r="U1335" s="11"/>
      <c r="V1335" s="11"/>
      <c r="W1335" s="11"/>
      <c r="X1335" s="11"/>
    </row>
    <row r="1336" spans="18:24">
      <c r="R1336" s="175"/>
      <c r="S1336" s="11"/>
      <c r="T1336" s="175"/>
      <c r="U1336" s="11"/>
      <c r="V1336" s="11"/>
      <c r="W1336" s="11"/>
      <c r="X1336" s="11"/>
    </row>
    <row r="1337" spans="18:24">
      <c r="R1337" s="175"/>
      <c r="S1337" s="11"/>
      <c r="T1337" s="175"/>
      <c r="U1337" s="11"/>
      <c r="V1337" s="11"/>
      <c r="W1337" s="11"/>
      <c r="X1337" s="11"/>
    </row>
    <row r="1338" spans="18:24">
      <c r="R1338" s="175"/>
      <c r="S1338" s="11"/>
      <c r="T1338" s="175"/>
      <c r="U1338" s="11"/>
      <c r="V1338" s="11"/>
      <c r="W1338" s="11"/>
      <c r="X1338" s="11"/>
    </row>
    <row r="1339" spans="18:24">
      <c r="R1339" s="175"/>
      <c r="S1339" s="11"/>
      <c r="T1339" s="175"/>
      <c r="U1339" s="11"/>
      <c r="V1339" s="11"/>
      <c r="W1339" s="11"/>
      <c r="X1339" s="11"/>
    </row>
    <row r="1340" spans="18:24">
      <c r="R1340" s="175"/>
      <c r="S1340" s="11"/>
      <c r="T1340" s="175"/>
      <c r="U1340" s="11"/>
      <c r="V1340" s="11"/>
      <c r="W1340" s="11"/>
      <c r="X1340" s="11"/>
    </row>
    <row r="1341" spans="18:24">
      <c r="R1341" s="175"/>
      <c r="S1341" s="11"/>
      <c r="T1341" s="175"/>
      <c r="U1341" s="11"/>
      <c r="V1341" s="11"/>
      <c r="W1341" s="11"/>
      <c r="X1341" s="11"/>
    </row>
    <row r="1342" spans="18:24">
      <c r="R1342" s="175"/>
      <c r="S1342" s="11"/>
      <c r="T1342" s="175"/>
      <c r="U1342" s="11"/>
      <c r="V1342" s="11"/>
      <c r="W1342" s="11"/>
      <c r="X1342" s="11"/>
    </row>
    <row r="1343" spans="18:24">
      <c r="R1343" s="175"/>
      <c r="S1343" s="11"/>
      <c r="T1343" s="175"/>
      <c r="U1343" s="11"/>
      <c r="V1343" s="11"/>
      <c r="W1343" s="11"/>
      <c r="X1343" s="11"/>
    </row>
    <row r="1344" spans="18:24">
      <c r="R1344" s="175"/>
      <c r="S1344" s="11"/>
      <c r="T1344" s="175"/>
      <c r="U1344" s="11"/>
      <c r="V1344" s="11"/>
      <c r="W1344" s="11"/>
      <c r="X1344" s="11"/>
    </row>
    <row r="1345" spans="18:24">
      <c r="R1345" s="175"/>
      <c r="S1345" s="11"/>
      <c r="T1345" s="175"/>
      <c r="U1345" s="11"/>
      <c r="V1345" s="11"/>
      <c r="W1345" s="11"/>
      <c r="X1345" s="11"/>
    </row>
    <row r="1346" spans="18:24">
      <c r="R1346" s="175"/>
      <c r="S1346" s="11"/>
      <c r="T1346" s="175"/>
      <c r="U1346" s="11"/>
      <c r="V1346" s="11"/>
      <c r="W1346" s="11"/>
      <c r="X1346" s="11"/>
    </row>
    <row r="1347" spans="18:24">
      <c r="R1347" s="175"/>
      <c r="S1347" s="11"/>
      <c r="T1347" s="175"/>
      <c r="U1347" s="11"/>
      <c r="V1347" s="11"/>
      <c r="W1347" s="11"/>
      <c r="X1347" s="11"/>
    </row>
    <row r="1348" spans="18:24">
      <c r="R1348" s="175"/>
      <c r="S1348" s="11"/>
      <c r="T1348" s="175"/>
      <c r="U1348" s="11"/>
      <c r="V1348" s="11"/>
      <c r="W1348" s="11"/>
      <c r="X1348" s="11"/>
    </row>
    <row r="1349" spans="18:24">
      <c r="R1349" s="175"/>
      <c r="S1349" s="11"/>
      <c r="T1349" s="175"/>
      <c r="U1349" s="11"/>
      <c r="V1349" s="11"/>
      <c r="W1349" s="11"/>
      <c r="X1349" s="11"/>
    </row>
    <row r="1350" spans="18:24">
      <c r="R1350" s="175"/>
      <c r="S1350" s="11"/>
      <c r="T1350" s="175"/>
      <c r="U1350" s="11"/>
      <c r="V1350" s="11"/>
      <c r="W1350" s="11"/>
      <c r="X1350" s="11"/>
    </row>
    <row r="1351" spans="18:24">
      <c r="R1351" s="175"/>
      <c r="S1351" s="11"/>
      <c r="T1351" s="175"/>
      <c r="U1351" s="11"/>
      <c r="V1351" s="11"/>
      <c r="W1351" s="11"/>
      <c r="X1351" s="11"/>
    </row>
    <row r="1352" spans="18:24">
      <c r="R1352" s="175"/>
      <c r="S1352" s="11"/>
      <c r="T1352" s="175"/>
      <c r="U1352" s="11"/>
      <c r="V1352" s="11"/>
      <c r="W1352" s="11"/>
      <c r="X1352" s="11"/>
    </row>
    <row r="1353" spans="18:24">
      <c r="R1353" s="175"/>
      <c r="S1353" s="11"/>
      <c r="T1353" s="175"/>
      <c r="U1353" s="11"/>
      <c r="V1353" s="11"/>
      <c r="W1353" s="11"/>
      <c r="X1353" s="11"/>
    </row>
    <row r="1354" spans="18:24">
      <c r="R1354" s="175"/>
      <c r="S1354" s="11"/>
      <c r="T1354" s="175"/>
      <c r="U1354" s="11"/>
      <c r="V1354" s="11"/>
      <c r="W1354" s="11"/>
      <c r="X1354" s="11"/>
    </row>
    <row r="1355" spans="18:24">
      <c r="R1355" s="175"/>
      <c r="S1355" s="11"/>
      <c r="T1355" s="175"/>
      <c r="U1355" s="11"/>
      <c r="V1355" s="11"/>
      <c r="W1355" s="11"/>
      <c r="X1355" s="11"/>
    </row>
    <row r="1356" spans="18:24">
      <c r="R1356" s="175"/>
      <c r="S1356" s="11"/>
      <c r="T1356" s="175"/>
      <c r="U1356" s="11"/>
      <c r="V1356" s="11"/>
      <c r="W1356" s="11"/>
      <c r="X1356" s="11"/>
    </row>
    <row r="1357" spans="18:24">
      <c r="R1357" s="175"/>
      <c r="S1357" s="11"/>
      <c r="T1357" s="175"/>
      <c r="U1357" s="11"/>
      <c r="V1357" s="11"/>
      <c r="W1357" s="11"/>
      <c r="X1357" s="11"/>
    </row>
    <row r="1358" spans="18:24">
      <c r="R1358" s="175"/>
      <c r="S1358" s="11"/>
      <c r="T1358" s="175"/>
      <c r="U1358" s="11"/>
      <c r="V1358" s="11"/>
      <c r="W1358" s="11"/>
      <c r="X1358" s="11"/>
    </row>
    <row r="1359" spans="18:24">
      <c r="R1359" s="175"/>
      <c r="S1359" s="11"/>
      <c r="T1359" s="175"/>
      <c r="U1359" s="11"/>
      <c r="V1359" s="11"/>
      <c r="W1359" s="11"/>
      <c r="X1359" s="11"/>
    </row>
    <row r="1360" spans="18:24">
      <c r="R1360" s="175"/>
      <c r="S1360" s="11"/>
      <c r="T1360" s="175"/>
      <c r="U1360" s="11"/>
      <c r="V1360" s="11"/>
      <c r="W1360" s="11"/>
      <c r="X1360" s="11"/>
    </row>
    <row r="1361" spans="18:24">
      <c r="R1361" s="175"/>
      <c r="S1361" s="11"/>
      <c r="T1361" s="175"/>
      <c r="U1361" s="11"/>
      <c r="V1361" s="11"/>
      <c r="W1361" s="11"/>
      <c r="X1361" s="11"/>
    </row>
    <row r="1362" spans="18:24">
      <c r="R1362" s="175"/>
      <c r="S1362" s="11"/>
      <c r="T1362" s="175"/>
      <c r="U1362" s="11"/>
      <c r="V1362" s="11"/>
      <c r="W1362" s="11"/>
      <c r="X1362" s="11"/>
    </row>
    <row r="1363" spans="18:24">
      <c r="R1363" s="175"/>
      <c r="S1363" s="11"/>
      <c r="T1363" s="175"/>
      <c r="U1363" s="11"/>
      <c r="V1363" s="11"/>
      <c r="W1363" s="11"/>
      <c r="X1363" s="11"/>
    </row>
    <row r="1364" spans="18:24">
      <c r="R1364" s="175"/>
      <c r="S1364" s="11"/>
      <c r="T1364" s="175"/>
      <c r="U1364" s="11"/>
      <c r="V1364" s="11"/>
      <c r="W1364" s="11"/>
      <c r="X1364" s="11"/>
    </row>
    <row r="1365" spans="18:24">
      <c r="R1365" s="175"/>
      <c r="S1365" s="11"/>
      <c r="T1365" s="175"/>
      <c r="U1365" s="11"/>
      <c r="V1365" s="11"/>
      <c r="W1365" s="11"/>
      <c r="X1365" s="11"/>
    </row>
    <row r="1366" spans="18:24">
      <c r="R1366" s="175"/>
      <c r="S1366" s="11"/>
      <c r="T1366" s="175"/>
      <c r="U1366" s="11"/>
      <c r="V1366" s="11"/>
      <c r="W1366" s="11"/>
      <c r="X1366" s="11"/>
    </row>
    <row r="1367" spans="18:24">
      <c r="R1367" s="175"/>
      <c r="S1367" s="11"/>
      <c r="T1367" s="175"/>
      <c r="U1367" s="11"/>
      <c r="V1367" s="11"/>
      <c r="W1367" s="11"/>
      <c r="X1367" s="11"/>
    </row>
    <row r="1368" spans="18:24">
      <c r="R1368" s="175"/>
      <c r="S1368" s="11"/>
      <c r="T1368" s="175"/>
      <c r="U1368" s="11"/>
      <c r="V1368" s="11"/>
      <c r="W1368" s="11"/>
      <c r="X1368" s="11"/>
    </row>
    <row r="1369" spans="18:24">
      <c r="R1369" s="175"/>
      <c r="S1369" s="11"/>
      <c r="T1369" s="175"/>
      <c r="U1369" s="11"/>
      <c r="V1369" s="11"/>
      <c r="W1369" s="11"/>
      <c r="X1369" s="11"/>
    </row>
    <row r="1370" spans="18:24">
      <c r="R1370" s="175"/>
      <c r="S1370" s="11"/>
      <c r="T1370" s="175"/>
      <c r="U1370" s="11"/>
      <c r="V1370" s="11"/>
      <c r="W1370" s="11"/>
      <c r="X1370" s="11"/>
    </row>
    <row r="1371" spans="18:24">
      <c r="R1371" s="175"/>
      <c r="S1371" s="11"/>
      <c r="T1371" s="175"/>
      <c r="U1371" s="11"/>
      <c r="V1371" s="11"/>
      <c r="W1371" s="11"/>
      <c r="X1371" s="11"/>
    </row>
    <row r="1372" spans="18:24">
      <c r="R1372" s="175"/>
      <c r="S1372" s="11"/>
      <c r="T1372" s="175"/>
      <c r="U1372" s="11"/>
      <c r="V1372" s="11"/>
      <c r="W1372" s="11"/>
      <c r="X1372" s="11"/>
    </row>
    <row r="1373" spans="18:24">
      <c r="R1373" s="175"/>
      <c r="S1373" s="11"/>
      <c r="T1373" s="175"/>
      <c r="U1373" s="11"/>
      <c r="V1373" s="11"/>
      <c r="W1373" s="11"/>
      <c r="X1373" s="11"/>
    </row>
    <row r="1374" spans="18:24">
      <c r="R1374" s="175"/>
      <c r="S1374" s="11"/>
      <c r="T1374" s="175"/>
      <c r="U1374" s="11"/>
      <c r="V1374" s="11"/>
      <c r="W1374" s="11"/>
      <c r="X1374" s="11"/>
    </row>
    <row r="1375" spans="18:24">
      <c r="R1375" s="175"/>
      <c r="S1375" s="11"/>
      <c r="T1375" s="175"/>
      <c r="U1375" s="11"/>
      <c r="V1375" s="11"/>
      <c r="W1375" s="11"/>
      <c r="X1375" s="11"/>
    </row>
    <row r="1376" spans="18:24">
      <c r="R1376" s="175"/>
      <c r="S1376" s="11"/>
      <c r="T1376" s="175"/>
      <c r="U1376" s="11"/>
      <c r="V1376" s="11"/>
      <c r="W1376" s="11"/>
      <c r="X1376" s="11"/>
    </row>
    <row r="1377" spans="18:24">
      <c r="R1377" s="175"/>
      <c r="S1377" s="11"/>
      <c r="T1377" s="175"/>
      <c r="U1377" s="11"/>
      <c r="V1377" s="11"/>
      <c r="W1377" s="11"/>
      <c r="X1377" s="11"/>
    </row>
    <row r="1378" spans="18:24">
      <c r="R1378" s="175"/>
      <c r="S1378" s="11"/>
      <c r="T1378" s="175"/>
      <c r="U1378" s="11"/>
      <c r="V1378" s="11"/>
      <c r="W1378" s="11"/>
      <c r="X1378" s="11"/>
    </row>
    <row r="1379" spans="18:24">
      <c r="R1379" s="175"/>
      <c r="S1379" s="11"/>
      <c r="T1379" s="175"/>
      <c r="U1379" s="11"/>
      <c r="V1379" s="11"/>
      <c r="W1379" s="11"/>
      <c r="X1379" s="11"/>
    </row>
    <row r="1380" spans="18:24">
      <c r="R1380" s="175"/>
      <c r="S1380" s="11"/>
      <c r="T1380" s="175"/>
      <c r="U1380" s="11"/>
      <c r="V1380" s="11"/>
      <c r="W1380" s="11"/>
      <c r="X1380" s="11"/>
    </row>
    <row r="1381" spans="18:24">
      <c r="R1381" s="175"/>
      <c r="S1381" s="11"/>
      <c r="T1381" s="175"/>
      <c r="U1381" s="11"/>
      <c r="V1381" s="11"/>
      <c r="W1381" s="11"/>
      <c r="X1381" s="11"/>
    </row>
    <row r="1382" spans="18:24">
      <c r="R1382" s="175"/>
      <c r="S1382" s="11"/>
      <c r="T1382" s="175"/>
      <c r="U1382" s="11"/>
      <c r="V1382" s="11"/>
      <c r="W1382" s="11"/>
      <c r="X1382" s="11"/>
    </row>
    <row r="1383" spans="18:24">
      <c r="R1383" s="175"/>
      <c r="S1383" s="11"/>
      <c r="T1383" s="175"/>
      <c r="U1383" s="11"/>
      <c r="V1383" s="11"/>
      <c r="W1383" s="11"/>
      <c r="X1383" s="11"/>
    </row>
    <row r="1384" spans="18:24">
      <c r="R1384" s="175"/>
      <c r="S1384" s="11"/>
      <c r="T1384" s="175"/>
      <c r="U1384" s="11"/>
      <c r="V1384" s="11"/>
      <c r="W1384" s="11"/>
      <c r="X1384" s="11"/>
    </row>
    <row r="1385" spans="18:24">
      <c r="R1385" s="175"/>
      <c r="S1385" s="11"/>
      <c r="T1385" s="175"/>
      <c r="U1385" s="11"/>
      <c r="V1385" s="11"/>
      <c r="W1385" s="11"/>
      <c r="X1385" s="11"/>
    </row>
    <row r="1386" spans="18:24">
      <c r="R1386" s="175"/>
      <c r="S1386" s="11"/>
      <c r="T1386" s="175"/>
      <c r="U1386" s="11"/>
      <c r="V1386" s="11"/>
      <c r="W1386" s="11"/>
      <c r="X1386" s="11"/>
    </row>
    <row r="1387" spans="18:24">
      <c r="R1387" s="175"/>
      <c r="S1387" s="11"/>
      <c r="T1387" s="175"/>
      <c r="U1387" s="11"/>
      <c r="V1387" s="11"/>
      <c r="W1387" s="11"/>
      <c r="X1387" s="11"/>
    </row>
    <row r="1388" spans="18:24">
      <c r="R1388" s="175"/>
      <c r="S1388" s="11"/>
      <c r="T1388" s="175"/>
      <c r="U1388" s="11"/>
      <c r="V1388" s="11"/>
      <c r="W1388" s="11"/>
      <c r="X1388" s="11"/>
    </row>
    <row r="1389" spans="18:24">
      <c r="R1389" s="175"/>
      <c r="S1389" s="11"/>
      <c r="T1389" s="175"/>
      <c r="U1389" s="11"/>
      <c r="V1389" s="11"/>
      <c r="W1389" s="11"/>
      <c r="X1389" s="11"/>
    </row>
    <row r="1390" spans="18:24">
      <c r="R1390" s="175"/>
      <c r="S1390" s="11"/>
      <c r="T1390" s="175"/>
      <c r="U1390" s="11"/>
      <c r="V1390" s="11"/>
      <c r="W1390" s="11"/>
      <c r="X1390" s="11"/>
    </row>
    <row r="1391" spans="18:24">
      <c r="R1391" s="175"/>
      <c r="S1391" s="11"/>
      <c r="T1391" s="175"/>
      <c r="U1391" s="11"/>
      <c r="V1391" s="11"/>
      <c r="W1391" s="11"/>
      <c r="X1391" s="11"/>
    </row>
    <row r="1392" spans="18:24">
      <c r="R1392" s="175"/>
      <c r="S1392" s="11"/>
      <c r="T1392" s="175"/>
      <c r="U1392" s="11"/>
      <c r="V1392" s="11"/>
      <c r="W1392" s="11"/>
      <c r="X1392" s="11"/>
    </row>
    <row r="1393" spans="18:24">
      <c r="R1393" s="175"/>
      <c r="S1393" s="11"/>
      <c r="T1393" s="175"/>
      <c r="U1393" s="11"/>
      <c r="V1393" s="11"/>
      <c r="W1393" s="11"/>
      <c r="X1393" s="11"/>
    </row>
    <row r="1394" spans="18:24">
      <c r="R1394" s="175"/>
      <c r="S1394" s="11"/>
      <c r="T1394" s="175"/>
      <c r="U1394" s="11"/>
      <c r="V1394" s="11"/>
      <c r="W1394" s="11"/>
      <c r="X1394" s="11"/>
    </row>
    <row r="1395" spans="18:24">
      <c r="R1395" s="175"/>
      <c r="S1395" s="11"/>
      <c r="T1395" s="175"/>
      <c r="U1395" s="11"/>
      <c r="V1395" s="11"/>
      <c r="W1395" s="11"/>
      <c r="X1395" s="11"/>
    </row>
    <row r="1396" spans="18:24">
      <c r="R1396" s="175"/>
      <c r="S1396" s="11"/>
      <c r="T1396" s="175"/>
      <c r="U1396" s="11"/>
      <c r="V1396" s="11"/>
      <c r="W1396" s="11"/>
      <c r="X1396" s="11"/>
    </row>
    <row r="1397" spans="18:24">
      <c r="R1397" s="175"/>
      <c r="S1397" s="11"/>
      <c r="T1397" s="175"/>
      <c r="U1397" s="11"/>
      <c r="V1397" s="11"/>
      <c r="W1397" s="11"/>
      <c r="X1397" s="11"/>
    </row>
    <row r="1398" spans="18:24">
      <c r="R1398" s="175"/>
      <c r="S1398" s="11"/>
      <c r="T1398" s="175"/>
      <c r="U1398" s="11"/>
      <c r="V1398" s="11"/>
      <c r="W1398" s="11"/>
      <c r="X1398" s="11"/>
    </row>
    <row r="1399" spans="18:24">
      <c r="R1399" s="175"/>
      <c r="S1399" s="11"/>
      <c r="T1399" s="175"/>
      <c r="U1399" s="11"/>
      <c r="V1399" s="11"/>
      <c r="W1399" s="11"/>
      <c r="X1399" s="11"/>
    </row>
    <row r="1400" spans="18:24">
      <c r="R1400" s="175"/>
      <c r="S1400" s="11"/>
      <c r="T1400" s="175"/>
      <c r="U1400" s="11"/>
      <c r="V1400" s="11"/>
      <c r="W1400" s="11"/>
      <c r="X1400" s="11"/>
    </row>
    <row r="1401" spans="18:24">
      <c r="R1401" s="175"/>
      <c r="S1401" s="11"/>
      <c r="T1401" s="175"/>
      <c r="U1401" s="11"/>
      <c r="V1401" s="11"/>
      <c r="W1401" s="11"/>
      <c r="X1401" s="11"/>
    </row>
    <row r="1402" spans="18:24">
      <c r="R1402" s="175"/>
      <c r="S1402" s="11"/>
      <c r="T1402" s="175"/>
      <c r="U1402" s="11"/>
      <c r="V1402" s="11"/>
      <c r="W1402" s="11"/>
      <c r="X1402" s="11"/>
    </row>
    <row r="1403" spans="18:24">
      <c r="R1403" s="175"/>
      <c r="S1403" s="11"/>
      <c r="T1403" s="175"/>
      <c r="U1403" s="11"/>
      <c r="V1403" s="11"/>
      <c r="W1403" s="11"/>
      <c r="X1403" s="11"/>
    </row>
    <row r="1404" spans="18:24">
      <c r="R1404" s="175"/>
      <c r="S1404" s="11"/>
      <c r="T1404" s="175"/>
      <c r="U1404" s="11"/>
      <c r="V1404" s="11"/>
      <c r="W1404" s="11"/>
      <c r="X1404" s="11"/>
    </row>
    <row r="1405" spans="18:24">
      <c r="R1405" s="175"/>
      <c r="S1405" s="11"/>
      <c r="T1405" s="175"/>
      <c r="U1405" s="11"/>
      <c r="V1405" s="11"/>
      <c r="W1405" s="11"/>
      <c r="X1405" s="11"/>
    </row>
    <row r="1406" spans="18:24">
      <c r="R1406" s="175"/>
      <c r="S1406" s="11"/>
      <c r="T1406" s="175"/>
      <c r="U1406" s="11"/>
      <c r="V1406" s="11"/>
      <c r="W1406" s="11"/>
      <c r="X1406" s="11"/>
    </row>
    <row r="1407" spans="18:24">
      <c r="R1407" s="175"/>
      <c r="S1407" s="11"/>
      <c r="T1407" s="175"/>
      <c r="U1407" s="11"/>
      <c r="V1407" s="11"/>
      <c r="W1407" s="11"/>
      <c r="X1407" s="11"/>
    </row>
    <row r="1408" spans="18:24">
      <c r="R1408" s="175"/>
      <c r="S1408" s="11"/>
      <c r="T1408" s="175"/>
      <c r="U1408" s="11"/>
      <c r="V1408" s="11"/>
      <c r="W1408" s="11"/>
      <c r="X1408" s="11"/>
    </row>
    <row r="1409" spans="18:24">
      <c r="R1409" s="175"/>
      <c r="S1409" s="11"/>
      <c r="T1409" s="175"/>
      <c r="U1409" s="11"/>
      <c r="V1409" s="11"/>
      <c r="W1409" s="11"/>
      <c r="X1409" s="11"/>
    </row>
    <row r="1410" spans="18:24">
      <c r="R1410" s="175"/>
      <c r="S1410" s="11"/>
      <c r="T1410" s="175"/>
      <c r="U1410" s="11"/>
      <c r="V1410" s="11"/>
      <c r="W1410" s="11"/>
      <c r="X1410" s="11"/>
    </row>
    <row r="1411" spans="18:24">
      <c r="R1411" s="175"/>
      <c r="S1411" s="11"/>
      <c r="T1411" s="175"/>
      <c r="U1411" s="11"/>
      <c r="V1411" s="11"/>
      <c r="W1411" s="11"/>
      <c r="X1411" s="11"/>
    </row>
    <row r="1412" spans="18:24">
      <c r="R1412" s="175"/>
      <c r="S1412" s="11"/>
      <c r="T1412" s="175"/>
      <c r="U1412" s="11"/>
      <c r="V1412" s="11"/>
      <c r="W1412" s="11"/>
      <c r="X1412" s="11"/>
    </row>
    <row r="1413" spans="18:24">
      <c r="R1413" s="175"/>
      <c r="S1413" s="11"/>
      <c r="T1413" s="175"/>
      <c r="U1413" s="11"/>
      <c r="V1413" s="11"/>
      <c r="W1413" s="11"/>
      <c r="X1413" s="11"/>
    </row>
    <row r="1414" spans="18:24">
      <c r="R1414" s="175"/>
      <c r="S1414" s="11"/>
      <c r="T1414" s="175"/>
      <c r="U1414" s="11"/>
      <c r="V1414" s="11"/>
      <c r="W1414" s="11"/>
      <c r="X1414" s="11"/>
    </row>
    <row r="1415" spans="18:24">
      <c r="R1415" s="175"/>
      <c r="S1415" s="11"/>
      <c r="T1415" s="175"/>
      <c r="U1415" s="11"/>
      <c r="V1415" s="11"/>
      <c r="W1415" s="11"/>
      <c r="X1415" s="11"/>
    </row>
    <row r="1416" spans="18:24">
      <c r="R1416" s="175"/>
      <c r="S1416" s="11"/>
      <c r="T1416" s="175"/>
      <c r="U1416" s="11"/>
      <c r="V1416" s="11"/>
      <c r="W1416" s="11"/>
      <c r="X1416" s="11"/>
    </row>
    <row r="1417" spans="18:24">
      <c r="R1417" s="175"/>
      <c r="S1417" s="11"/>
      <c r="T1417" s="175"/>
      <c r="U1417" s="11"/>
      <c r="V1417" s="11"/>
      <c r="W1417" s="11"/>
      <c r="X1417" s="11"/>
    </row>
    <row r="1418" spans="18:24">
      <c r="R1418" s="175"/>
      <c r="S1418" s="11"/>
      <c r="T1418" s="175"/>
      <c r="U1418" s="11"/>
      <c r="V1418" s="11"/>
      <c r="W1418" s="11"/>
      <c r="X1418" s="11"/>
    </row>
    <row r="1419" spans="18:24">
      <c r="R1419" s="175"/>
      <c r="S1419" s="11"/>
      <c r="T1419" s="175"/>
      <c r="U1419" s="11"/>
      <c r="V1419" s="11"/>
      <c r="W1419" s="11"/>
      <c r="X1419" s="11"/>
    </row>
    <row r="1420" spans="18:24">
      <c r="R1420" s="175"/>
      <c r="S1420" s="11"/>
      <c r="T1420" s="175"/>
      <c r="U1420" s="11"/>
      <c r="V1420" s="11"/>
      <c r="W1420" s="11"/>
      <c r="X1420" s="11"/>
    </row>
    <row r="1421" spans="18:24">
      <c r="R1421" s="175"/>
      <c r="S1421" s="11"/>
      <c r="T1421" s="175"/>
      <c r="U1421" s="11"/>
      <c r="V1421" s="11"/>
      <c r="W1421" s="11"/>
      <c r="X1421" s="11"/>
    </row>
    <row r="1422" spans="18:24">
      <c r="R1422" s="175"/>
      <c r="S1422" s="11"/>
      <c r="T1422" s="175"/>
      <c r="U1422" s="11"/>
      <c r="V1422" s="11"/>
      <c r="W1422" s="11"/>
      <c r="X1422" s="11"/>
    </row>
    <row r="1423" spans="18:24">
      <c r="R1423" s="175"/>
      <c r="S1423" s="11"/>
      <c r="T1423" s="175"/>
      <c r="U1423" s="11"/>
      <c r="V1423" s="11"/>
      <c r="W1423" s="11"/>
      <c r="X1423" s="11"/>
    </row>
    <row r="1424" spans="18:24">
      <c r="R1424" s="175"/>
      <c r="S1424" s="11"/>
      <c r="T1424" s="175"/>
      <c r="U1424" s="11"/>
      <c r="V1424" s="11"/>
      <c r="W1424" s="11"/>
      <c r="X1424" s="11"/>
    </row>
    <row r="1425" spans="18:24">
      <c r="R1425" s="175"/>
      <c r="S1425" s="11"/>
      <c r="T1425" s="175"/>
      <c r="U1425" s="11"/>
      <c r="V1425" s="11"/>
      <c r="W1425" s="11"/>
      <c r="X1425" s="11"/>
    </row>
    <row r="1426" spans="18:24">
      <c r="R1426" s="175"/>
      <c r="S1426" s="11"/>
      <c r="T1426" s="175"/>
      <c r="U1426" s="11"/>
      <c r="V1426" s="11"/>
      <c r="W1426" s="11"/>
      <c r="X1426" s="11"/>
    </row>
    <row r="1427" spans="18:24">
      <c r="R1427" s="175"/>
      <c r="S1427" s="11"/>
      <c r="T1427" s="175"/>
      <c r="U1427" s="11"/>
      <c r="V1427" s="11"/>
      <c r="W1427" s="11"/>
      <c r="X1427" s="11"/>
    </row>
    <row r="1428" spans="18:24">
      <c r="R1428" s="175"/>
      <c r="S1428" s="11"/>
      <c r="T1428" s="175"/>
      <c r="U1428" s="11"/>
      <c r="V1428" s="11"/>
      <c r="W1428" s="11"/>
      <c r="X1428" s="11"/>
    </row>
    <row r="1429" spans="18:24">
      <c r="R1429" s="175"/>
      <c r="S1429" s="11"/>
      <c r="T1429" s="175"/>
      <c r="U1429" s="11"/>
      <c r="V1429" s="11"/>
      <c r="W1429" s="11"/>
      <c r="X1429" s="11"/>
    </row>
    <row r="1430" spans="18:24">
      <c r="R1430" s="175"/>
      <c r="S1430" s="11"/>
      <c r="T1430" s="175"/>
      <c r="U1430" s="11"/>
      <c r="V1430" s="11"/>
      <c r="W1430" s="11"/>
      <c r="X1430" s="11"/>
    </row>
    <row r="1431" spans="18:24">
      <c r="R1431" s="175"/>
      <c r="S1431" s="11"/>
      <c r="T1431" s="175"/>
      <c r="U1431" s="11"/>
      <c r="V1431" s="11"/>
      <c r="W1431" s="11"/>
      <c r="X1431" s="11"/>
    </row>
    <row r="1432" spans="18:24">
      <c r="R1432" s="175"/>
      <c r="S1432" s="11"/>
      <c r="T1432" s="175"/>
      <c r="U1432" s="11"/>
      <c r="V1432" s="11"/>
      <c r="W1432" s="11"/>
      <c r="X1432" s="11"/>
    </row>
    <row r="1433" spans="18:24">
      <c r="R1433" s="175"/>
      <c r="S1433" s="11"/>
      <c r="T1433" s="175"/>
      <c r="U1433" s="11"/>
      <c r="V1433" s="11"/>
      <c r="W1433" s="11"/>
      <c r="X1433" s="11"/>
    </row>
    <row r="1434" spans="18:24">
      <c r="R1434" s="175"/>
      <c r="S1434" s="11"/>
      <c r="T1434" s="175"/>
      <c r="U1434" s="11"/>
      <c r="V1434" s="11"/>
      <c r="W1434" s="11"/>
      <c r="X1434" s="11"/>
    </row>
    <row r="1435" spans="18:24">
      <c r="R1435" s="175"/>
      <c r="S1435" s="11"/>
      <c r="T1435" s="175"/>
      <c r="U1435" s="11"/>
      <c r="V1435" s="11"/>
      <c r="W1435" s="11"/>
      <c r="X1435" s="11"/>
    </row>
    <row r="1436" spans="18:24">
      <c r="R1436" s="175"/>
      <c r="S1436" s="11"/>
      <c r="T1436" s="175"/>
      <c r="U1436" s="11"/>
      <c r="V1436" s="11"/>
      <c r="W1436" s="11"/>
      <c r="X1436" s="11"/>
    </row>
    <row r="1437" spans="18:24">
      <c r="R1437" s="175"/>
      <c r="S1437" s="11"/>
      <c r="T1437" s="175"/>
      <c r="U1437" s="11"/>
      <c r="V1437" s="11"/>
      <c r="W1437" s="11"/>
      <c r="X1437" s="11"/>
    </row>
    <row r="1438" spans="18:24">
      <c r="R1438" s="175"/>
      <c r="S1438" s="11"/>
      <c r="T1438" s="175"/>
      <c r="U1438" s="11"/>
      <c r="V1438" s="11"/>
      <c r="W1438" s="11"/>
      <c r="X1438" s="11"/>
    </row>
    <row r="1439" spans="18:24">
      <c r="R1439" s="175"/>
      <c r="S1439" s="11"/>
      <c r="T1439" s="175"/>
      <c r="U1439" s="11"/>
      <c r="V1439" s="11"/>
      <c r="W1439" s="11"/>
      <c r="X1439" s="11"/>
    </row>
    <row r="1440" spans="18:24">
      <c r="R1440" s="175"/>
      <c r="S1440" s="11"/>
      <c r="T1440" s="175"/>
      <c r="U1440" s="11"/>
      <c r="V1440" s="11"/>
      <c r="W1440" s="11"/>
      <c r="X1440" s="11"/>
    </row>
    <row r="1441" spans="18:24">
      <c r="R1441" s="175"/>
      <c r="S1441" s="11"/>
      <c r="T1441" s="175"/>
      <c r="U1441" s="11"/>
      <c r="V1441" s="11"/>
      <c r="W1441" s="11"/>
      <c r="X1441" s="11"/>
    </row>
    <row r="1442" spans="18:24">
      <c r="R1442" s="175"/>
      <c r="S1442" s="11"/>
      <c r="T1442" s="175"/>
      <c r="U1442" s="11"/>
      <c r="V1442" s="11"/>
      <c r="W1442" s="11"/>
      <c r="X1442" s="11"/>
    </row>
  </sheetData>
  <autoFilter ref="A15:AG44" xr:uid="{71848156-738C-4D7F-AC9D-0FF21E6B6975}"/>
  <mergeCells count="21">
    <mergeCell ref="A13:A14"/>
    <mergeCell ref="B13:B14"/>
    <mergeCell ref="E13:E14"/>
    <mergeCell ref="F13:F14"/>
    <mergeCell ref="G13:G14"/>
    <mergeCell ref="AA13:AA14"/>
    <mergeCell ref="E11:R11"/>
    <mergeCell ref="T11:W11"/>
    <mergeCell ref="Y11:AC11"/>
    <mergeCell ref="L12:L14"/>
    <mergeCell ref="R12:R14"/>
    <mergeCell ref="AC13:AC14"/>
    <mergeCell ref="H13:H14"/>
    <mergeCell ref="K13:K14"/>
    <mergeCell ref="M13:M14"/>
    <mergeCell ref="N13:N14"/>
    <mergeCell ref="O13:O14"/>
    <mergeCell ref="P13:P14"/>
    <mergeCell ref="Q13:Q14"/>
    <mergeCell ref="Y13:Y14"/>
    <mergeCell ref="Z13:Z14"/>
  </mergeCells>
  <printOptions horizontalCentered="1" verticalCentered="1"/>
  <pageMargins left="0.55118110236220474" right="0.39370078740157483" top="0.39370078740157483" bottom="0.35433070866141736" header="3.937007874015748E-2" footer="0"/>
  <pageSetup orientation="landscape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1BD9D-A767-4BB5-86EB-10E959C49887}">
  <sheetPr>
    <pageSetUpPr fitToPage="1"/>
  </sheetPr>
  <dimension ref="A1:AG99"/>
  <sheetViews>
    <sheetView zoomScale="87" zoomScaleNormal="87" workbookViewId="0">
      <pane xSplit="2" ySplit="13" topLeftCell="H14" activePane="bottomRight" state="frozen"/>
      <selection pane="bottomRight" activeCell="Y21" sqref="Y21"/>
      <selection pane="bottomLeft" activeCell="A9" sqref="A9"/>
      <selection pane="topRight" activeCell="C1" sqref="C1"/>
    </sheetView>
  </sheetViews>
  <sheetFormatPr defaultColWidth="11.42578125" defaultRowHeight="13.15"/>
  <cols>
    <col min="1" max="1" width="4.85546875" style="11" customWidth="1"/>
    <col min="2" max="2" width="45.85546875" style="11" customWidth="1"/>
    <col min="3" max="3" width="27" style="11" customWidth="1"/>
    <col min="4" max="4" width="35.140625" style="11" customWidth="1"/>
    <col min="5" max="5" width="15.85546875" style="12" bestFit="1" customWidth="1"/>
    <col min="6" max="6" width="13.42578125" style="12" customWidth="1"/>
    <col min="7" max="7" width="11" style="13" customWidth="1"/>
    <col min="8" max="8" width="15.28515625" style="12" customWidth="1"/>
    <col min="9" max="9" width="15.28515625" style="12" hidden="1" customWidth="1"/>
    <col min="10" max="11" width="13.85546875" style="12" hidden="1" customWidth="1"/>
    <col min="12" max="12" width="12.28515625" style="12" hidden="1" customWidth="1"/>
    <col min="13" max="13" width="11" style="12" hidden="1" customWidth="1"/>
    <col min="14" max="14" width="15.85546875" style="12" customWidth="1"/>
    <col min="15" max="19" width="13.5703125" style="12" customWidth="1"/>
    <col min="20" max="20" width="15.140625" style="12" customWidth="1"/>
    <col min="21" max="21" width="12.85546875" style="12" bestFit="1" customWidth="1"/>
    <col min="22" max="22" width="13.28515625" style="64" bestFit="1" customWidth="1"/>
    <col min="23" max="23" width="13" style="64" customWidth="1"/>
    <col min="24" max="24" width="13.42578125" style="64" customWidth="1"/>
    <col min="25" max="25" width="16.140625" style="64" customWidth="1"/>
    <col min="26" max="26" width="0.7109375" style="73" customWidth="1"/>
    <col min="27" max="27" width="15.5703125" style="11" customWidth="1"/>
    <col min="28" max="28" width="13.5703125" style="11" customWidth="1"/>
    <col min="29" max="29" width="15" style="11" customWidth="1"/>
    <col min="30" max="30" width="13.140625" style="11" customWidth="1"/>
    <col min="31" max="31" width="17.5703125" style="11" customWidth="1"/>
    <col min="32" max="32" width="13.5703125" style="11" bestFit="1" customWidth="1"/>
    <col min="33" max="33" width="11.42578125" style="11" customWidth="1"/>
    <col min="34" max="16384" width="11.42578125" style="11"/>
  </cols>
  <sheetData>
    <row r="1" spans="1:31">
      <c r="J1" s="13"/>
      <c r="K1" s="13"/>
      <c r="T1" s="84"/>
      <c r="V1" s="114"/>
      <c r="W1" s="114"/>
      <c r="X1" s="14"/>
      <c r="Y1" s="14"/>
      <c r="Z1" s="72"/>
    </row>
    <row r="2" spans="1:31">
      <c r="G2" s="80"/>
      <c r="U2" s="117"/>
      <c r="V2" s="114"/>
      <c r="W2" s="114"/>
      <c r="X2" s="14"/>
      <c r="Y2" s="14"/>
      <c r="Z2" s="72"/>
    </row>
    <row r="3" spans="1:31">
      <c r="U3" s="151"/>
      <c r="V3" s="150"/>
      <c r="W3" s="150"/>
      <c r="X3" s="14"/>
      <c r="Y3" s="14"/>
      <c r="Z3" s="72"/>
    </row>
    <row r="4" spans="1:31">
      <c r="G4" s="80"/>
      <c r="U4" s="117"/>
      <c r="V4" s="117"/>
      <c r="W4" s="150"/>
      <c r="X4" s="14"/>
      <c r="Y4" s="14"/>
      <c r="Z4" s="72"/>
    </row>
    <row r="5" spans="1:31">
      <c r="G5" s="80"/>
      <c r="Q5" s="80"/>
      <c r="U5" s="117"/>
      <c r="V5" s="95"/>
      <c r="W5" s="150"/>
      <c r="X5" s="14"/>
      <c r="Y5" s="14"/>
      <c r="Z5" s="72"/>
    </row>
    <row r="6" spans="1:31">
      <c r="E6" s="80"/>
      <c r="F6" s="80"/>
      <c r="G6" s="80"/>
      <c r="U6" s="117"/>
      <c r="V6" s="95"/>
      <c r="W6" s="150"/>
      <c r="X6" s="14"/>
      <c r="Y6" s="14"/>
      <c r="Z6" s="72"/>
    </row>
    <row r="7" spans="1:31" ht="13.9">
      <c r="A7" s="10"/>
      <c r="F7" s="80"/>
      <c r="G7" s="80"/>
      <c r="Q7" s="84"/>
      <c r="R7" s="84"/>
      <c r="S7" s="84"/>
      <c r="U7" s="115"/>
      <c r="V7" s="115"/>
      <c r="W7" s="150"/>
      <c r="X7" s="14"/>
      <c r="Y7" s="14"/>
      <c r="Z7" s="72"/>
    </row>
    <row r="8" spans="1:31" ht="13.9">
      <c r="A8" s="10"/>
      <c r="S8" s="84"/>
      <c r="U8" s="117"/>
      <c r="V8" s="114"/>
      <c r="W8" s="114"/>
      <c r="X8" s="14"/>
      <c r="Y8" s="14"/>
      <c r="Z8" s="72"/>
    </row>
    <row r="9" spans="1:31" ht="14.45" thickBot="1">
      <c r="A9" s="10" t="s">
        <v>102</v>
      </c>
      <c r="H9" s="84"/>
      <c r="I9" s="84"/>
      <c r="U9" s="117"/>
      <c r="V9" s="114"/>
      <c r="W9" s="114"/>
      <c r="X9" s="14"/>
      <c r="Y9" s="14"/>
      <c r="Z9" s="72"/>
    </row>
    <row r="10" spans="1:31" ht="15.6" thickBot="1">
      <c r="A10" s="10" t="str">
        <f>+'LUXIMIA '!A11</f>
        <v>02. DEL 16-31 ENERO 2025</v>
      </c>
      <c r="D10" s="63"/>
      <c r="E10" s="302" t="s">
        <v>3</v>
      </c>
      <c r="F10" s="302"/>
      <c r="G10" s="302"/>
      <c r="H10" s="302"/>
      <c r="I10" s="302"/>
      <c r="J10" s="302"/>
      <c r="K10" s="302"/>
      <c r="L10" s="302"/>
      <c r="M10" s="302"/>
      <c r="N10" s="303"/>
      <c r="O10" s="303"/>
      <c r="P10" s="303"/>
      <c r="Q10" s="303"/>
      <c r="R10" s="303"/>
      <c r="S10" s="303"/>
      <c r="T10" s="302"/>
      <c r="U10" s="303"/>
      <c r="V10" s="322"/>
      <c r="W10" s="322"/>
      <c r="X10" s="322"/>
      <c r="Y10" s="323"/>
      <c r="Z10" s="72"/>
      <c r="AA10" s="306" t="s">
        <v>4</v>
      </c>
      <c r="AB10" s="307"/>
      <c r="AC10" s="307"/>
      <c r="AD10" s="307"/>
      <c r="AE10" s="307"/>
    </row>
    <row r="11" spans="1:31" ht="13.9" thickBot="1">
      <c r="A11" s="15"/>
      <c r="M11" s="24"/>
      <c r="N11" s="308" t="s">
        <v>5</v>
      </c>
      <c r="O11" s="24"/>
      <c r="P11" s="24"/>
      <c r="Q11" s="24"/>
      <c r="R11" s="24"/>
      <c r="S11" s="24"/>
      <c r="U11" s="324" t="s">
        <v>6</v>
      </c>
      <c r="V11" s="14"/>
      <c r="W11" s="14"/>
      <c r="X11" s="14"/>
      <c r="Y11" s="14"/>
      <c r="Z11" s="72"/>
      <c r="AA11" s="15"/>
      <c r="AB11" s="51">
        <v>0.03</v>
      </c>
      <c r="AC11" s="15"/>
      <c r="AD11" s="15"/>
      <c r="AE11" s="15"/>
    </row>
    <row r="12" spans="1:31" s="21" customFormat="1" ht="38.25" customHeight="1" thickBot="1">
      <c r="A12" s="300" t="s">
        <v>7</v>
      </c>
      <c r="B12" s="318" t="s">
        <v>8</v>
      </c>
      <c r="C12" s="92" t="s">
        <v>9</v>
      </c>
      <c r="D12" s="92" t="s">
        <v>10</v>
      </c>
      <c r="E12" s="316" t="s">
        <v>11</v>
      </c>
      <c r="F12" s="300" t="s">
        <v>12</v>
      </c>
      <c r="G12" s="320" t="s">
        <v>13</v>
      </c>
      <c r="H12" s="300" t="s">
        <v>14</v>
      </c>
      <c r="I12" s="300" t="s">
        <v>103</v>
      </c>
      <c r="J12" s="316" t="s">
        <v>15</v>
      </c>
      <c r="K12" s="300" t="s">
        <v>104</v>
      </c>
      <c r="L12" s="300" t="s">
        <v>105</v>
      </c>
      <c r="M12" s="316" t="s">
        <v>17</v>
      </c>
      <c r="N12" s="309"/>
      <c r="O12" s="316" t="s">
        <v>17</v>
      </c>
      <c r="P12" s="316" t="s">
        <v>18</v>
      </c>
      <c r="Q12" s="316" t="s">
        <v>19</v>
      </c>
      <c r="R12" s="316" t="s">
        <v>20</v>
      </c>
      <c r="S12" s="316" t="s">
        <v>21</v>
      </c>
      <c r="T12" s="327" t="s">
        <v>22</v>
      </c>
      <c r="U12" s="325"/>
      <c r="V12" s="65" t="s">
        <v>23</v>
      </c>
      <c r="W12" s="268" t="s">
        <v>24</v>
      </c>
      <c r="X12" s="68" t="s">
        <v>25</v>
      </c>
      <c r="Y12" s="71" t="s">
        <v>26</v>
      </c>
      <c r="Z12" s="74"/>
      <c r="AA12" s="329" t="s">
        <v>27</v>
      </c>
      <c r="AB12" s="300" t="s">
        <v>28</v>
      </c>
      <c r="AC12" s="300" t="s">
        <v>29</v>
      </c>
      <c r="AD12" s="90" t="s">
        <v>30</v>
      </c>
      <c r="AE12" s="314" t="s">
        <v>31</v>
      </c>
    </row>
    <row r="13" spans="1:31" s="21" customFormat="1" ht="14.45" thickBot="1">
      <c r="A13" s="301"/>
      <c r="B13" s="319"/>
      <c r="C13" s="93"/>
      <c r="D13" s="93"/>
      <c r="E13" s="317"/>
      <c r="F13" s="301"/>
      <c r="G13" s="321"/>
      <c r="H13" s="301"/>
      <c r="I13" s="301"/>
      <c r="J13" s="317"/>
      <c r="K13" s="301"/>
      <c r="L13" s="301"/>
      <c r="M13" s="317"/>
      <c r="N13" s="310"/>
      <c r="O13" s="317"/>
      <c r="P13" s="317"/>
      <c r="Q13" s="317"/>
      <c r="R13" s="317"/>
      <c r="S13" s="317"/>
      <c r="T13" s="328"/>
      <c r="U13" s="326"/>
      <c r="V13" s="66"/>
      <c r="W13" s="66"/>
      <c r="X13" s="66"/>
      <c r="Y13" s="66"/>
      <c r="Z13" s="75"/>
      <c r="AA13" s="330"/>
      <c r="AB13" s="301"/>
      <c r="AC13" s="301"/>
      <c r="AD13" s="50">
        <v>0.16</v>
      </c>
      <c r="AE13" s="315"/>
    </row>
    <row r="14" spans="1:31">
      <c r="A14" s="49"/>
      <c r="B14" s="26"/>
      <c r="C14" s="26"/>
      <c r="D14" s="26"/>
      <c r="E14" s="18"/>
      <c r="F14" s="59"/>
      <c r="G14" s="19"/>
      <c r="H14" s="18"/>
      <c r="I14" s="18"/>
      <c r="J14" s="18"/>
      <c r="K14" s="18"/>
      <c r="L14" s="18"/>
      <c r="M14" s="20"/>
      <c r="N14" s="25"/>
      <c r="O14" s="18"/>
      <c r="P14" s="18"/>
      <c r="Q14" s="20"/>
      <c r="R14" s="20"/>
      <c r="S14" s="20"/>
      <c r="T14" s="20"/>
      <c r="U14" s="25"/>
      <c r="Z14" s="76"/>
      <c r="AA14" s="15"/>
      <c r="AB14" s="15"/>
      <c r="AC14" s="15"/>
      <c r="AD14" s="15"/>
      <c r="AE14" s="15"/>
    </row>
    <row r="15" spans="1:31" ht="16.5" customHeight="1">
      <c r="A15" s="277">
        <v>1</v>
      </c>
      <c r="B15" s="278" t="s">
        <v>106</v>
      </c>
      <c r="C15" s="278" t="s">
        <v>107</v>
      </c>
      <c r="D15" s="278" t="s">
        <v>108</v>
      </c>
      <c r="E15" s="271">
        <f>+F15*30</f>
        <v>14935.800000000001</v>
      </c>
      <c r="F15" s="279">
        <v>497.86</v>
      </c>
      <c r="G15" s="280">
        <v>16</v>
      </c>
      <c r="H15" s="270">
        <f>F15*G15</f>
        <v>7965.76</v>
      </c>
      <c r="I15" s="270">
        <v>0</v>
      </c>
      <c r="J15" s="270">
        <v>0</v>
      </c>
      <c r="K15" s="270">
        <v>0</v>
      </c>
      <c r="L15" s="270">
        <v>0</v>
      </c>
      <c r="M15" s="270">
        <v>0</v>
      </c>
      <c r="N15" s="271">
        <f>SUM(H15:M15)</f>
        <v>7965.76</v>
      </c>
      <c r="O15" s="271">
        <v>0</v>
      </c>
      <c r="P15" s="280">
        <v>878.42</v>
      </c>
      <c r="Q15" s="280">
        <v>211.1</v>
      </c>
      <c r="R15" s="280"/>
      <c r="S15" s="280">
        <v>1888.37</v>
      </c>
      <c r="T15" s="271">
        <f>SUM(O15:S15)</f>
        <v>2977.89</v>
      </c>
      <c r="U15" s="281">
        <f>+N15-T15</f>
        <v>4987.8700000000008</v>
      </c>
      <c r="V15" s="270">
        <v>318.63040000000001</v>
      </c>
      <c r="W15" s="271">
        <v>2244.0100000000002</v>
      </c>
      <c r="X15" s="272">
        <f t="shared" ref="X15:X21" si="0">+W15+V15</f>
        <v>2562.6404000000002</v>
      </c>
      <c r="Y15" s="271">
        <f t="shared" ref="Y15:Y21" si="1">+N15</f>
        <v>7965.76</v>
      </c>
      <c r="Z15" s="273"/>
      <c r="AA15" s="269">
        <f>+Y15+X15</f>
        <v>10528.4004</v>
      </c>
      <c r="AB15" s="269">
        <f>+AA15*$AB$11</f>
        <v>315.852012</v>
      </c>
      <c r="AC15" s="274">
        <f t="shared" ref="AC15" si="2">+AA15+AB15</f>
        <v>10844.252412</v>
      </c>
      <c r="AD15" s="269">
        <f t="shared" ref="AD15" si="3">+AC15*$AD$13</f>
        <v>1735.08038592</v>
      </c>
      <c r="AE15" s="269">
        <f t="shared" ref="AE15" si="4">+AC15+AD15</f>
        <v>12579.33279792</v>
      </c>
    </row>
    <row r="16" spans="1:31" ht="16.5" customHeight="1">
      <c r="A16" s="277">
        <v>2</v>
      </c>
      <c r="B16" s="282" t="s">
        <v>109</v>
      </c>
      <c r="C16" s="278" t="s">
        <v>110</v>
      </c>
      <c r="D16" s="278" t="s">
        <v>111</v>
      </c>
      <c r="E16" s="271">
        <f t="shared" ref="E16:E20" si="5">+F16*30</f>
        <v>29871.600000000002</v>
      </c>
      <c r="F16" s="279">
        <v>995.72</v>
      </c>
      <c r="G16" s="280">
        <v>16</v>
      </c>
      <c r="H16" s="270">
        <f t="shared" ref="H16:H21" si="6">F16*G16</f>
        <v>15931.52</v>
      </c>
      <c r="I16" s="270">
        <v>0</v>
      </c>
      <c r="J16" s="270">
        <v>0</v>
      </c>
      <c r="K16" s="270">
        <v>0</v>
      </c>
      <c r="L16" s="270">
        <v>0</v>
      </c>
      <c r="M16" s="270">
        <v>0</v>
      </c>
      <c r="N16" s="271">
        <f t="shared" ref="N16" si="7">SUM(H16:M16)</f>
        <v>15931.52</v>
      </c>
      <c r="O16" s="271">
        <v>0</v>
      </c>
      <c r="P16" s="280">
        <v>2591.15</v>
      </c>
      <c r="Q16" s="280">
        <v>443.05</v>
      </c>
      <c r="R16" s="280"/>
      <c r="S16" s="280">
        <v>0</v>
      </c>
      <c r="T16" s="271">
        <f t="shared" ref="T16" si="8">SUM(O16:S16)</f>
        <v>3034.2000000000003</v>
      </c>
      <c r="U16" s="281">
        <f t="shared" ref="U16" si="9">+N16-T16</f>
        <v>12897.32</v>
      </c>
      <c r="V16" s="275">
        <v>637.26080000000002</v>
      </c>
      <c r="W16" s="271">
        <v>4111.37</v>
      </c>
      <c r="X16" s="272">
        <f t="shared" si="0"/>
        <v>4748.6307999999999</v>
      </c>
      <c r="Y16" s="271">
        <f t="shared" si="1"/>
        <v>15931.52</v>
      </c>
      <c r="Z16" s="276"/>
      <c r="AA16" s="269">
        <f t="shared" ref="AA16:AA20" si="10">+Y16+X16</f>
        <v>20680.150799999999</v>
      </c>
      <c r="AB16" s="269">
        <f t="shared" ref="AB16:AB20" si="11">+AA16*$AB$11</f>
        <v>620.40452399999992</v>
      </c>
      <c r="AC16" s="274">
        <f t="shared" ref="AC16:AC20" si="12">+AA16+AB16</f>
        <v>21300.555324000001</v>
      </c>
      <c r="AD16" s="269">
        <f t="shared" ref="AD16:AD20" si="13">+AC16*$AD$13</f>
        <v>3408.0888518400002</v>
      </c>
      <c r="AE16" s="269">
        <f t="shared" ref="AE16:AE20" si="14">+AC16+AD16</f>
        <v>24708.64417584</v>
      </c>
    </row>
    <row r="17" spans="1:33" ht="16.5" customHeight="1">
      <c r="A17" s="277">
        <v>3</v>
      </c>
      <c r="B17" s="282" t="s">
        <v>112</v>
      </c>
      <c r="C17" s="278" t="s">
        <v>80</v>
      </c>
      <c r="D17" s="278" t="s">
        <v>113</v>
      </c>
      <c r="E17" s="271">
        <f t="shared" si="5"/>
        <v>22403.699999999997</v>
      </c>
      <c r="F17" s="279">
        <v>746.79</v>
      </c>
      <c r="G17" s="280">
        <v>16</v>
      </c>
      <c r="H17" s="270">
        <f t="shared" si="6"/>
        <v>11948.64</v>
      </c>
      <c r="I17" s="270">
        <v>0</v>
      </c>
      <c r="J17" s="270">
        <v>0</v>
      </c>
      <c r="K17" s="270">
        <v>0</v>
      </c>
      <c r="L17" s="270">
        <v>0</v>
      </c>
      <c r="M17" s="270">
        <v>0</v>
      </c>
      <c r="N17" s="271">
        <f>SUM(H17:M17)</f>
        <v>11948.64</v>
      </c>
      <c r="O17" s="271">
        <v>0</v>
      </c>
      <c r="P17" s="280">
        <v>1729.17</v>
      </c>
      <c r="Q17" s="280">
        <v>327.08</v>
      </c>
      <c r="R17" s="280"/>
      <c r="S17" s="280">
        <v>0</v>
      </c>
      <c r="T17" s="271">
        <f t="shared" ref="T17" si="15">SUM(O17:S17)</f>
        <v>2056.25</v>
      </c>
      <c r="U17" s="281">
        <f t="shared" ref="U17" si="16">+N17-T17</f>
        <v>9892.39</v>
      </c>
      <c r="V17" s="275">
        <v>477.94560000000001</v>
      </c>
      <c r="W17" s="271">
        <v>3177.71</v>
      </c>
      <c r="X17" s="272">
        <f t="shared" si="0"/>
        <v>3655.6556</v>
      </c>
      <c r="Y17" s="271">
        <f t="shared" si="1"/>
        <v>11948.64</v>
      </c>
      <c r="Z17" s="276"/>
      <c r="AA17" s="269">
        <f t="shared" si="10"/>
        <v>15604.295599999999</v>
      </c>
      <c r="AB17" s="269">
        <f t="shared" si="11"/>
        <v>468.12886799999995</v>
      </c>
      <c r="AC17" s="274">
        <f t="shared" si="12"/>
        <v>16072.424467999999</v>
      </c>
      <c r="AD17" s="269">
        <f t="shared" si="13"/>
        <v>2571.58791488</v>
      </c>
      <c r="AE17" s="269">
        <f t="shared" si="14"/>
        <v>18644.012382879999</v>
      </c>
    </row>
    <row r="18" spans="1:33" ht="16.5" customHeight="1">
      <c r="A18" s="277">
        <v>4</v>
      </c>
      <c r="B18" s="282" t="s">
        <v>114</v>
      </c>
      <c r="C18" s="278" t="s">
        <v>115</v>
      </c>
      <c r="D18" s="278" t="s">
        <v>116</v>
      </c>
      <c r="E18" s="271">
        <f t="shared" si="5"/>
        <v>14935.800000000001</v>
      </c>
      <c r="F18" s="279">
        <v>497.86</v>
      </c>
      <c r="G18" s="280">
        <v>16</v>
      </c>
      <c r="H18" s="270">
        <f t="shared" si="6"/>
        <v>7965.76</v>
      </c>
      <c r="I18" s="270">
        <v>0</v>
      </c>
      <c r="J18" s="275">
        <v>0</v>
      </c>
      <c r="K18" s="275">
        <v>0</v>
      </c>
      <c r="L18" s="275">
        <v>0</v>
      </c>
      <c r="M18" s="275">
        <v>0</v>
      </c>
      <c r="N18" s="271">
        <f t="shared" ref="N18" si="17">SUM(H18:M18)</f>
        <v>7965.76</v>
      </c>
      <c r="O18" s="271">
        <v>0</v>
      </c>
      <c r="P18" s="280">
        <v>878.42</v>
      </c>
      <c r="Q18" s="280">
        <v>211.1</v>
      </c>
      <c r="R18" s="280"/>
      <c r="S18" s="280">
        <v>0</v>
      </c>
      <c r="T18" s="271">
        <f t="shared" ref="T18" si="18">SUM(O18:S18)</f>
        <v>1089.52</v>
      </c>
      <c r="U18" s="281">
        <f t="shared" ref="U18" si="19">+N18-T18</f>
        <v>6876.24</v>
      </c>
      <c r="V18" s="275">
        <v>318.63040000000001</v>
      </c>
      <c r="W18" s="271">
        <v>2244.0100000000002</v>
      </c>
      <c r="X18" s="272">
        <f t="shared" si="0"/>
        <v>2562.6404000000002</v>
      </c>
      <c r="Y18" s="271">
        <f t="shared" si="1"/>
        <v>7965.76</v>
      </c>
      <c r="Z18" s="271"/>
      <c r="AA18" s="269">
        <f t="shared" si="10"/>
        <v>10528.4004</v>
      </c>
      <c r="AB18" s="269">
        <f t="shared" si="11"/>
        <v>315.852012</v>
      </c>
      <c r="AC18" s="274">
        <f t="shared" si="12"/>
        <v>10844.252412</v>
      </c>
      <c r="AD18" s="269">
        <f t="shared" si="13"/>
        <v>1735.08038592</v>
      </c>
      <c r="AE18" s="269">
        <f t="shared" si="14"/>
        <v>12579.33279792</v>
      </c>
    </row>
    <row r="19" spans="1:33" ht="16.5" customHeight="1">
      <c r="A19" s="277">
        <v>5</v>
      </c>
      <c r="B19" s="282" t="s">
        <v>117</v>
      </c>
      <c r="C19" s="278" t="s">
        <v>118</v>
      </c>
      <c r="D19" s="283" t="s">
        <v>71</v>
      </c>
      <c r="E19" s="271">
        <f t="shared" si="5"/>
        <v>14935.800000000001</v>
      </c>
      <c r="F19" s="279">
        <v>497.86</v>
      </c>
      <c r="G19" s="280">
        <v>16</v>
      </c>
      <c r="H19" s="270">
        <f t="shared" si="6"/>
        <v>7965.76</v>
      </c>
      <c r="I19" s="270">
        <v>0</v>
      </c>
      <c r="J19" s="275">
        <v>0</v>
      </c>
      <c r="K19" s="275">
        <v>0</v>
      </c>
      <c r="L19" s="275">
        <v>0</v>
      </c>
      <c r="M19" s="275">
        <v>0</v>
      </c>
      <c r="N19" s="271">
        <f>SUM(H19:M19)</f>
        <v>7965.76</v>
      </c>
      <c r="O19" s="271">
        <v>0</v>
      </c>
      <c r="P19" s="280">
        <v>878.42</v>
      </c>
      <c r="Q19" s="280">
        <v>211.1</v>
      </c>
      <c r="R19" s="280"/>
      <c r="S19" s="280">
        <v>1372.57</v>
      </c>
      <c r="T19" s="271">
        <f t="shared" ref="T19" si="20">SUM(O19:S19)</f>
        <v>2462.09</v>
      </c>
      <c r="U19" s="281">
        <f t="shared" ref="U19" si="21">+N19-T19</f>
        <v>5503.67</v>
      </c>
      <c r="V19" s="275">
        <v>318.63040000000001</v>
      </c>
      <c r="W19" s="271">
        <v>2244.0100000000002</v>
      </c>
      <c r="X19" s="272">
        <f t="shared" si="0"/>
        <v>2562.6404000000002</v>
      </c>
      <c r="Y19" s="271">
        <f t="shared" si="1"/>
        <v>7965.76</v>
      </c>
      <c r="Z19" s="271">
        <f>+O19</f>
        <v>0</v>
      </c>
      <c r="AA19" s="269">
        <f t="shared" si="10"/>
        <v>10528.4004</v>
      </c>
      <c r="AB19" s="269">
        <f t="shared" si="11"/>
        <v>315.852012</v>
      </c>
      <c r="AC19" s="274">
        <f t="shared" si="12"/>
        <v>10844.252412</v>
      </c>
      <c r="AD19" s="269">
        <f t="shared" si="13"/>
        <v>1735.08038592</v>
      </c>
      <c r="AE19" s="269">
        <f t="shared" si="14"/>
        <v>12579.33279792</v>
      </c>
    </row>
    <row r="20" spans="1:33" ht="16.5" customHeight="1">
      <c r="A20" s="277">
        <v>6</v>
      </c>
      <c r="B20" s="282" t="s">
        <v>119</v>
      </c>
      <c r="C20" s="278" t="s">
        <v>115</v>
      </c>
      <c r="D20" s="284" t="s">
        <v>120</v>
      </c>
      <c r="E20" s="271">
        <f t="shared" si="5"/>
        <v>14935.800000000001</v>
      </c>
      <c r="F20" s="279">
        <v>497.86</v>
      </c>
      <c r="G20" s="280">
        <v>16</v>
      </c>
      <c r="H20" s="270">
        <f t="shared" si="6"/>
        <v>7965.76</v>
      </c>
      <c r="I20" s="270">
        <v>0</v>
      </c>
      <c r="J20" s="275">
        <v>0</v>
      </c>
      <c r="K20" s="275">
        <v>0</v>
      </c>
      <c r="L20" s="275">
        <v>0</v>
      </c>
      <c r="M20" s="275">
        <v>0</v>
      </c>
      <c r="N20" s="271">
        <f t="shared" ref="N20:N21" si="22">SUM(H20:M20)</f>
        <v>7965.76</v>
      </c>
      <c r="O20" s="271">
        <v>0</v>
      </c>
      <c r="P20" s="280">
        <v>878.42</v>
      </c>
      <c r="Q20" s="280">
        <v>211.1</v>
      </c>
      <c r="R20" s="280"/>
      <c r="S20" s="280">
        <v>0</v>
      </c>
      <c r="T20" s="271">
        <f t="shared" ref="T20:T21" si="23">SUM(O20:S20)</f>
        <v>1089.52</v>
      </c>
      <c r="U20" s="281">
        <f t="shared" ref="U20:U21" si="24">+N20-T20</f>
        <v>6876.24</v>
      </c>
      <c r="V20" s="275">
        <v>318.63040000000001</v>
      </c>
      <c r="W20" s="271">
        <v>2244.0100000000002</v>
      </c>
      <c r="X20" s="272">
        <f t="shared" si="0"/>
        <v>2562.6404000000002</v>
      </c>
      <c r="Y20" s="271">
        <f t="shared" si="1"/>
        <v>7965.76</v>
      </c>
      <c r="Z20" s="271">
        <f>+O20</f>
        <v>0</v>
      </c>
      <c r="AA20" s="269">
        <f t="shared" si="10"/>
        <v>10528.4004</v>
      </c>
      <c r="AB20" s="269">
        <f t="shared" si="11"/>
        <v>315.852012</v>
      </c>
      <c r="AC20" s="274">
        <f t="shared" si="12"/>
        <v>10844.252412</v>
      </c>
      <c r="AD20" s="269">
        <f t="shared" si="13"/>
        <v>1735.08038592</v>
      </c>
      <c r="AE20" s="269">
        <f t="shared" si="14"/>
        <v>12579.33279792</v>
      </c>
    </row>
    <row r="21" spans="1:33" ht="16.5" customHeight="1">
      <c r="A21" s="277">
        <v>7</v>
      </c>
      <c r="B21" s="291" t="s">
        <v>121</v>
      </c>
      <c r="C21" s="278" t="s">
        <v>122</v>
      </c>
      <c r="D21" s="284" t="s">
        <v>123</v>
      </c>
      <c r="E21" s="271">
        <v>20000</v>
      </c>
      <c r="F21" s="279">
        <v>497.86</v>
      </c>
      <c r="G21" s="280">
        <v>16</v>
      </c>
      <c r="H21" s="270">
        <f t="shared" si="6"/>
        <v>7965.76</v>
      </c>
      <c r="I21" s="270"/>
      <c r="J21" s="275"/>
      <c r="K21" s="275"/>
      <c r="L21" s="275"/>
      <c r="M21" s="275"/>
      <c r="N21" s="271">
        <f t="shared" si="22"/>
        <v>7965.76</v>
      </c>
      <c r="O21" s="271"/>
      <c r="P21" s="280">
        <v>878.42</v>
      </c>
      <c r="Q21" s="280">
        <v>211.1</v>
      </c>
      <c r="R21" s="280"/>
      <c r="S21" s="280">
        <v>0</v>
      </c>
      <c r="T21" s="271">
        <f t="shared" si="23"/>
        <v>1089.52</v>
      </c>
      <c r="U21" s="281">
        <f t="shared" si="24"/>
        <v>6876.24</v>
      </c>
      <c r="V21" s="275">
        <v>318.63040000000001</v>
      </c>
      <c r="W21" s="271">
        <v>2244.0100000000002</v>
      </c>
      <c r="X21" s="272">
        <f t="shared" si="0"/>
        <v>2562.6404000000002</v>
      </c>
      <c r="Y21" s="271">
        <f t="shared" si="1"/>
        <v>7965.76</v>
      </c>
      <c r="Z21" s="271"/>
      <c r="AA21" s="269">
        <f t="shared" ref="AA21" si="25">+Y21+X21</f>
        <v>10528.4004</v>
      </c>
      <c r="AB21" s="269">
        <f t="shared" ref="AB21" si="26">+AA21*$AB$11</f>
        <v>315.852012</v>
      </c>
      <c r="AC21" s="274">
        <f t="shared" ref="AC21" si="27">+AA21+AB21</f>
        <v>10844.252412</v>
      </c>
      <c r="AD21" s="269">
        <f t="shared" ref="AD21" si="28">+AC21*$AD$13</f>
        <v>1735.08038592</v>
      </c>
      <c r="AE21" s="269">
        <f t="shared" ref="AE21" si="29">+AC21+AD21</f>
        <v>12579.33279792</v>
      </c>
      <c r="AF21" s="11" t="s">
        <v>87</v>
      </c>
    </row>
    <row r="22" spans="1:33" s="64" customFormat="1">
      <c r="A22"/>
      <c r="B22"/>
      <c r="C22" s="120" t="s">
        <v>124</v>
      </c>
      <c r="D22"/>
      <c r="E22" s="169">
        <f>SUM(E15:E21)</f>
        <v>132018.5</v>
      </c>
      <c r="F22" s="169">
        <f t="shared" ref="F22:AE22" si="30">SUM(F15:F21)</f>
        <v>4231.8100000000004</v>
      </c>
      <c r="G22" s="169">
        <f t="shared" si="30"/>
        <v>112</v>
      </c>
      <c r="H22" s="169">
        <f t="shared" si="30"/>
        <v>67708.960000000006</v>
      </c>
      <c r="I22" s="169">
        <f t="shared" si="30"/>
        <v>0</v>
      </c>
      <c r="J22" s="169">
        <f t="shared" si="30"/>
        <v>0</v>
      </c>
      <c r="K22" s="169">
        <f t="shared" si="30"/>
        <v>0</v>
      </c>
      <c r="L22" s="169">
        <f t="shared" si="30"/>
        <v>0</v>
      </c>
      <c r="M22" s="169">
        <f t="shared" si="30"/>
        <v>0</v>
      </c>
      <c r="N22" s="169">
        <f t="shared" si="30"/>
        <v>67708.960000000006</v>
      </c>
      <c r="O22" s="169">
        <f t="shared" si="30"/>
        <v>0</v>
      </c>
      <c r="P22" s="169">
        <f t="shared" si="30"/>
        <v>8712.42</v>
      </c>
      <c r="Q22" s="169">
        <f t="shared" si="30"/>
        <v>1825.6299999999997</v>
      </c>
      <c r="R22" s="169">
        <f t="shared" si="30"/>
        <v>0</v>
      </c>
      <c r="S22" s="169">
        <f t="shared" si="30"/>
        <v>3260.9399999999996</v>
      </c>
      <c r="T22" s="169">
        <f t="shared" si="30"/>
        <v>13798.990000000002</v>
      </c>
      <c r="U22" s="169">
        <f t="shared" si="30"/>
        <v>53909.969999999994</v>
      </c>
      <c r="V22" s="169">
        <f t="shared" si="30"/>
        <v>2708.3584000000001</v>
      </c>
      <c r="W22" s="169">
        <f t="shared" si="30"/>
        <v>18509.13</v>
      </c>
      <c r="X22" s="169">
        <f t="shared" si="30"/>
        <v>21217.488400000002</v>
      </c>
      <c r="Y22" s="169">
        <f t="shared" si="30"/>
        <v>67708.960000000006</v>
      </c>
      <c r="Z22" s="169">
        <f t="shared" si="30"/>
        <v>0</v>
      </c>
      <c r="AA22" s="169">
        <f t="shared" si="30"/>
        <v>88926.448399999994</v>
      </c>
      <c r="AB22" s="169">
        <f t="shared" si="30"/>
        <v>2667.7934519999999</v>
      </c>
      <c r="AC22" s="169">
        <f t="shared" si="30"/>
        <v>91594.241852000006</v>
      </c>
      <c r="AD22" s="169">
        <f t="shared" si="30"/>
        <v>14655.078696320003</v>
      </c>
      <c r="AE22" s="169">
        <f t="shared" si="30"/>
        <v>106249.32054831999</v>
      </c>
      <c r="AF22" s="165"/>
    </row>
    <row r="23" spans="1:33">
      <c r="H23" s="84"/>
      <c r="I23" s="84"/>
      <c r="S23" s="11"/>
      <c r="T23" s="118"/>
      <c r="V23" s="80"/>
      <c r="W23" s="168"/>
      <c r="X23" s="167"/>
      <c r="Y23" s="11"/>
      <c r="AC23" s="61"/>
      <c r="AD23" s="61"/>
    </row>
    <row r="24" spans="1:33">
      <c r="B24" s="135" t="s">
        <v>97</v>
      </c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W24" s="9"/>
      <c r="X24" s="80"/>
      <c r="Y24" s="80"/>
      <c r="Z24" s="80">
        <f t="shared" ref="Z24" si="31">Z22-Z23</f>
        <v>0</v>
      </c>
      <c r="AE24" s="166"/>
    </row>
    <row r="25" spans="1:33" ht="13.9">
      <c r="B25" s="85" t="s">
        <v>98</v>
      </c>
      <c r="C25" s="94"/>
      <c r="G25" s="11"/>
      <c r="H25" s="13"/>
      <c r="I25" s="13"/>
      <c r="Q25" s="84"/>
      <c r="R25" s="113"/>
      <c r="S25" s="118"/>
      <c r="T25" s="113"/>
      <c r="U25" s="84"/>
      <c r="V25" s="83"/>
      <c r="W25" s="292"/>
      <c r="X25" s="9"/>
      <c r="Y25" s="11"/>
      <c r="AD25" s="11" t="s">
        <v>125</v>
      </c>
      <c r="AE25" s="123">
        <v>0</v>
      </c>
    </row>
    <row r="26" spans="1:33" ht="13.9">
      <c r="B26" s="87"/>
      <c r="C26" s="95"/>
      <c r="G26" s="80"/>
      <c r="P26" s="84"/>
      <c r="Q26" s="84"/>
      <c r="R26" s="118"/>
      <c r="S26" s="118"/>
      <c r="T26" s="113"/>
      <c r="U26" s="84"/>
      <c r="V26" s="9"/>
      <c r="W26" s="9"/>
      <c r="X26" s="11"/>
      <c r="Y26" s="11"/>
      <c r="AD26" s="110" t="s">
        <v>100</v>
      </c>
      <c r="AE26" s="58">
        <f>+AE22+AE25+AE24</f>
        <v>106249.32054831999</v>
      </c>
      <c r="AF26" s="62"/>
      <c r="AG26" s="62"/>
    </row>
    <row r="27" spans="1:33">
      <c r="B27" s="87"/>
      <c r="C27" s="96"/>
      <c r="G27" s="80"/>
      <c r="H27" s="89"/>
      <c r="I27" s="89"/>
      <c r="P27" s="84"/>
      <c r="Q27" s="84"/>
      <c r="R27" s="118"/>
      <c r="S27" s="118"/>
      <c r="T27" s="113"/>
      <c r="U27" s="84"/>
      <c r="V27" s="11"/>
      <c r="W27" s="11"/>
      <c r="X27" s="11"/>
      <c r="Y27" s="11"/>
      <c r="AB27" s="9"/>
      <c r="AE27" s="62"/>
    </row>
    <row r="28" spans="1:33">
      <c r="B28" s="87"/>
      <c r="C28" s="96"/>
      <c r="G28" s="80"/>
      <c r="R28" s="113"/>
      <c r="S28" s="118"/>
      <c r="T28" s="113"/>
      <c r="U28" s="84"/>
      <c r="V28" s="11"/>
      <c r="W28" s="11"/>
      <c r="X28" s="11"/>
      <c r="Y28" s="11"/>
      <c r="AB28" s="9"/>
      <c r="AE28" s="62"/>
    </row>
    <row r="29" spans="1:33">
      <c r="B29" s="87"/>
      <c r="N29" s="84"/>
      <c r="R29" s="118"/>
      <c r="S29" s="113"/>
      <c r="T29" s="113"/>
      <c r="V29" s="11"/>
      <c r="W29" s="11"/>
      <c r="X29" s="11"/>
      <c r="Y29" s="11"/>
      <c r="AE29" s="62"/>
    </row>
    <row r="30" spans="1:33">
      <c r="N30" s="84"/>
      <c r="R30" s="118"/>
      <c r="S30" s="113"/>
      <c r="T30" s="113"/>
      <c r="V30" s="11"/>
      <c r="W30" s="11"/>
      <c r="X30" s="11"/>
      <c r="Y30" s="11"/>
      <c r="AC30" s="9"/>
    </row>
    <row r="31" spans="1:33">
      <c r="R31" s="113"/>
      <c r="S31" s="113"/>
      <c r="T31" s="113"/>
      <c r="V31" s="11"/>
      <c r="W31" s="11"/>
      <c r="X31" s="11"/>
      <c r="Y31" s="11"/>
      <c r="AC31" s="9"/>
    </row>
    <row r="32" spans="1:33">
      <c r="R32" s="118"/>
      <c r="S32" s="113"/>
      <c r="T32" s="113"/>
      <c r="V32" s="11"/>
      <c r="W32" s="11"/>
      <c r="X32" s="11"/>
      <c r="Y32" s="11"/>
      <c r="AC32" s="9"/>
    </row>
    <row r="33" spans="4:31">
      <c r="L33" s="80"/>
      <c r="T33" s="84"/>
      <c r="V33" s="11"/>
      <c r="W33" s="11"/>
      <c r="X33" s="11"/>
      <c r="Y33" s="11"/>
      <c r="AC33" s="9"/>
      <c r="AE33" s="9"/>
    </row>
    <row r="34" spans="4:31">
      <c r="D34" s="9"/>
      <c r="T34" s="84"/>
      <c r="U34" s="84"/>
      <c r="V34" s="11"/>
      <c r="W34" s="11"/>
      <c r="X34" s="11"/>
      <c r="Y34" s="11"/>
    </row>
    <row r="35" spans="4:31">
      <c r="S35" s="84"/>
      <c r="V35" s="11"/>
      <c r="W35" s="11"/>
      <c r="X35" s="11"/>
      <c r="Y35" s="11"/>
      <c r="AC35" s="9"/>
    </row>
    <row r="36" spans="4:31">
      <c r="V36" s="11"/>
      <c r="W36" s="11"/>
      <c r="X36" s="11"/>
      <c r="Y36" s="11"/>
      <c r="AC36" s="9"/>
    </row>
    <row r="37" spans="4:31">
      <c r="V37" s="11"/>
      <c r="W37" s="11"/>
      <c r="X37" s="11"/>
      <c r="Y37" s="11"/>
    </row>
    <row r="38" spans="4:31">
      <c r="V38" s="11"/>
      <c r="W38" s="11"/>
      <c r="X38" s="11"/>
      <c r="Y38" s="11"/>
    </row>
    <row r="39" spans="4:31">
      <c r="V39" s="11"/>
      <c r="W39" s="11"/>
      <c r="X39" s="11"/>
      <c r="Y39" s="11"/>
    </row>
    <row r="40" spans="4:31">
      <c r="V40" s="11"/>
      <c r="W40" s="11"/>
      <c r="X40" s="11"/>
      <c r="Y40" s="11"/>
    </row>
    <row r="41" spans="4:31">
      <c r="V41" s="11"/>
      <c r="W41" s="11"/>
      <c r="X41" s="11"/>
      <c r="Y41" s="11"/>
    </row>
    <row r="42" spans="4:31">
      <c r="V42" s="11"/>
      <c r="W42" s="11"/>
      <c r="X42" s="11"/>
      <c r="Y42" s="11"/>
    </row>
    <row r="43" spans="4:31">
      <c r="V43" s="11"/>
      <c r="W43" s="11"/>
      <c r="X43" s="11"/>
      <c r="Y43" s="11"/>
    </row>
    <row r="44" spans="4:31">
      <c r="V44" s="11"/>
      <c r="W44" s="11"/>
      <c r="X44" s="11"/>
      <c r="Y44" s="11"/>
    </row>
    <row r="45" spans="4:31">
      <c r="V45" s="11"/>
      <c r="W45" s="11"/>
      <c r="X45" s="11"/>
      <c r="Y45" s="11"/>
    </row>
    <row r="46" spans="4:31">
      <c r="V46" s="11"/>
      <c r="W46" s="11"/>
      <c r="X46" s="11"/>
      <c r="Y46" s="11"/>
    </row>
    <row r="47" spans="4:31">
      <c r="V47" s="11"/>
      <c r="W47" s="11"/>
      <c r="X47" s="11"/>
      <c r="Y47" s="11"/>
    </row>
    <row r="48" spans="4:31">
      <c r="V48" s="11"/>
      <c r="W48" s="11"/>
      <c r="X48" s="11"/>
      <c r="Y48" s="11"/>
    </row>
    <row r="49" spans="1:31">
      <c r="V49" s="11"/>
      <c r="W49" s="11"/>
      <c r="X49" s="11"/>
      <c r="Y49" s="11"/>
    </row>
    <row r="50" spans="1:31">
      <c r="V50" s="11"/>
      <c r="W50" s="11"/>
      <c r="X50" s="11"/>
      <c r="Y50" s="11"/>
    </row>
    <row r="51" spans="1:31">
      <c r="V51" s="11"/>
      <c r="W51" s="11"/>
      <c r="X51" s="11"/>
      <c r="Y51" s="11"/>
    </row>
    <row r="52" spans="1:31" s="73" customFormat="1">
      <c r="A52" s="11"/>
      <c r="B52" s="11"/>
      <c r="C52" s="11"/>
      <c r="D52" s="11"/>
      <c r="E52" s="12"/>
      <c r="F52" s="12"/>
      <c r="G52" s="13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1"/>
      <c r="W52" s="11"/>
      <c r="X52" s="11"/>
      <c r="Y52" s="11"/>
      <c r="AA52" s="11"/>
      <c r="AB52" s="11"/>
      <c r="AC52" s="11"/>
      <c r="AD52" s="11"/>
      <c r="AE52" s="11"/>
    </row>
    <row r="53" spans="1:31" s="73" customFormat="1">
      <c r="A53" s="11"/>
      <c r="B53" s="11"/>
      <c r="C53" s="11"/>
      <c r="D53" s="11"/>
      <c r="E53" s="12"/>
      <c r="F53" s="12"/>
      <c r="G53" s="13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1"/>
      <c r="W53" s="11"/>
      <c r="X53" s="11"/>
      <c r="Y53" s="11"/>
      <c r="AA53" s="11"/>
      <c r="AB53" s="11"/>
      <c r="AC53" s="11"/>
      <c r="AD53" s="11"/>
      <c r="AE53" s="11"/>
    </row>
    <row r="54" spans="1:31" s="73" customFormat="1">
      <c r="A54" s="11"/>
      <c r="B54" s="11"/>
      <c r="C54" s="11"/>
      <c r="D54" s="11"/>
      <c r="E54" s="12"/>
      <c r="F54" s="12"/>
      <c r="G54" s="13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1"/>
      <c r="W54" s="11"/>
      <c r="X54" s="11"/>
      <c r="Y54" s="11"/>
      <c r="AA54" s="11"/>
      <c r="AB54" s="11"/>
      <c r="AC54" s="11"/>
      <c r="AD54" s="11"/>
      <c r="AE54" s="11"/>
    </row>
    <row r="55" spans="1:31" s="73" customFormat="1">
      <c r="A55" s="11"/>
      <c r="B55" s="11"/>
      <c r="C55" s="11"/>
      <c r="D55" s="11"/>
      <c r="E55" s="12"/>
      <c r="F55" s="12"/>
      <c r="G55" s="13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1"/>
      <c r="W55" s="11"/>
      <c r="X55" s="11"/>
      <c r="Y55" s="11"/>
      <c r="AA55" s="11"/>
      <c r="AB55" s="11"/>
      <c r="AC55" s="11"/>
      <c r="AD55" s="11"/>
      <c r="AE55" s="11"/>
    </row>
    <row r="56" spans="1:31" s="73" customFormat="1">
      <c r="A56" s="11"/>
      <c r="B56" s="11"/>
      <c r="C56" s="11"/>
      <c r="D56" s="11"/>
      <c r="E56" s="12"/>
      <c r="F56" s="12"/>
      <c r="G56" s="13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1"/>
      <c r="W56" s="11"/>
      <c r="X56" s="11"/>
      <c r="Y56" s="11"/>
      <c r="AA56" s="11"/>
      <c r="AB56" s="11"/>
      <c r="AC56" s="11"/>
      <c r="AD56" s="11"/>
      <c r="AE56" s="11"/>
    </row>
    <row r="57" spans="1:31" s="73" customFormat="1">
      <c r="A57" s="11"/>
      <c r="B57" s="11"/>
      <c r="C57" s="11"/>
      <c r="D57" s="11"/>
      <c r="E57" s="12"/>
      <c r="F57" s="12"/>
      <c r="G57" s="13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1"/>
      <c r="W57" s="11"/>
      <c r="X57" s="11"/>
      <c r="Y57" s="11"/>
      <c r="AA57" s="11"/>
      <c r="AB57" s="11"/>
      <c r="AC57" s="11"/>
      <c r="AD57" s="11"/>
      <c r="AE57" s="11"/>
    </row>
    <row r="58" spans="1:31" s="73" customFormat="1">
      <c r="A58" s="11"/>
      <c r="B58" s="11"/>
      <c r="C58" s="11"/>
      <c r="D58" s="11"/>
      <c r="E58" s="12"/>
      <c r="F58" s="12"/>
      <c r="G58" s="13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1"/>
      <c r="W58" s="11"/>
      <c r="X58" s="11"/>
      <c r="Y58" s="11"/>
      <c r="AA58" s="11"/>
      <c r="AB58" s="11"/>
      <c r="AC58" s="11"/>
      <c r="AD58" s="11"/>
      <c r="AE58" s="11"/>
    </row>
    <row r="59" spans="1:31" s="73" customFormat="1">
      <c r="A59" s="11"/>
      <c r="B59" s="11"/>
      <c r="C59" s="11"/>
      <c r="D59" s="11"/>
      <c r="E59" s="12"/>
      <c r="F59" s="12"/>
      <c r="G59" s="13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1"/>
      <c r="W59" s="11"/>
      <c r="X59" s="11"/>
      <c r="Y59" s="11"/>
      <c r="AA59" s="11"/>
      <c r="AB59" s="11"/>
      <c r="AC59" s="11"/>
      <c r="AD59" s="11"/>
      <c r="AE59" s="11"/>
    </row>
    <row r="60" spans="1:31" s="73" customFormat="1">
      <c r="A60" s="11"/>
      <c r="B60" s="11"/>
      <c r="C60" s="11"/>
      <c r="D60" s="11"/>
      <c r="E60" s="12"/>
      <c r="F60" s="12"/>
      <c r="G60" s="13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1"/>
      <c r="W60" s="11"/>
      <c r="X60" s="11"/>
      <c r="Y60" s="11"/>
      <c r="AA60" s="11"/>
      <c r="AB60" s="11"/>
      <c r="AC60" s="11"/>
      <c r="AD60" s="11"/>
      <c r="AE60" s="11"/>
    </row>
    <row r="61" spans="1:31" s="73" customFormat="1">
      <c r="A61" s="11"/>
      <c r="B61" s="11"/>
      <c r="C61" s="11"/>
      <c r="D61" s="11"/>
      <c r="E61" s="12"/>
      <c r="F61" s="12"/>
      <c r="G61" s="13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1"/>
      <c r="W61" s="11"/>
      <c r="X61" s="11"/>
      <c r="Y61" s="11"/>
      <c r="AA61" s="11"/>
      <c r="AB61" s="11"/>
      <c r="AC61" s="11"/>
      <c r="AD61" s="11"/>
      <c r="AE61" s="11"/>
    </row>
    <row r="62" spans="1:31" s="73" customFormat="1">
      <c r="A62" s="11"/>
      <c r="B62" s="11"/>
      <c r="C62" s="11"/>
      <c r="D62" s="11"/>
      <c r="E62" s="12"/>
      <c r="F62" s="12"/>
      <c r="G62" s="13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1"/>
      <c r="W62" s="11"/>
      <c r="X62" s="11"/>
      <c r="Y62" s="11"/>
      <c r="AA62" s="11"/>
      <c r="AB62" s="11"/>
      <c r="AC62" s="11"/>
      <c r="AD62" s="11"/>
      <c r="AE62" s="11"/>
    </row>
    <row r="63" spans="1:31" s="73" customFormat="1">
      <c r="A63" s="11"/>
      <c r="B63" s="11"/>
      <c r="C63" s="11"/>
      <c r="D63" s="11"/>
      <c r="E63" s="12"/>
      <c r="F63" s="12"/>
      <c r="G63" s="13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1"/>
      <c r="W63" s="11"/>
      <c r="X63" s="11"/>
      <c r="Y63" s="11"/>
      <c r="AA63" s="11"/>
      <c r="AB63" s="11"/>
      <c r="AC63" s="11"/>
      <c r="AD63" s="11"/>
      <c r="AE63" s="11"/>
    </row>
    <row r="64" spans="1:31" s="73" customFormat="1">
      <c r="A64" s="11"/>
      <c r="B64" s="11"/>
      <c r="C64" s="11"/>
      <c r="D64" s="11"/>
      <c r="E64" s="12"/>
      <c r="F64" s="12"/>
      <c r="G64" s="13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1"/>
      <c r="W64" s="11"/>
      <c r="X64" s="11"/>
      <c r="Y64" s="11"/>
      <c r="AA64" s="11"/>
      <c r="AB64" s="11"/>
      <c r="AC64" s="11"/>
      <c r="AD64" s="11"/>
      <c r="AE64" s="11"/>
    </row>
    <row r="65" spans="1:31" s="73" customFormat="1">
      <c r="A65" s="11"/>
      <c r="B65" s="11"/>
      <c r="C65" s="11"/>
      <c r="D65" s="11"/>
      <c r="E65" s="12"/>
      <c r="F65" s="12"/>
      <c r="G65" s="13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1"/>
      <c r="W65" s="11"/>
      <c r="X65" s="11"/>
      <c r="Y65" s="11"/>
      <c r="AA65" s="11"/>
      <c r="AB65" s="11"/>
      <c r="AC65" s="11"/>
      <c r="AD65" s="11"/>
      <c r="AE65" s="11"/>
    </row>
    <row r="66" spans="1:31" s="73" customFormat="1">
      <c r="A66" s="11"/>
      <c r="B66" s="11"/>
      <c r="C66" s="11"/>
      <c r="D66" s="11"/>
      <c r="E66" s="12"/>
      <c r="F66" s="12"/>
      <c r="G66" s="13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1"/>
      <c r="W66" s="11"/>
      <c r="X66" s="11"/>
      <c r="Y66" s="11"/>
      <c r="AA66" s="11"/>
      <c r="AB66" s="11"/>
      <c r="AC66" s="11"/>
      <c r="AD66" s="11"/>
      <c r="AE66" s="11"/>
    </row>
    <row r="67" spans="1:31" s="73" customFormat="1">
      <c r="A67" s="11"/>
      <c r="B67" s="11"/>
      <c r="C67" s="11"/>
      <c r="D67" s="11"/>
      <c r="E67" s="12"/>
      <c r="F67" s="12"/>
      <c r="G67" s="13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1"/>
      <c r="W67" s="11"/>
      <c r="X67" s="11"/>
      <c r="Y67" s="11"/>
      <c r="AA67" s="11"/>
      <c r="AB67" s="11"/>
      <c r="AC67" s="11"/>
      <c r="AD67" s="11"/>
      <c r="AE67" s="11"/>
    </row>
    <row r="68" spans="1:31" s="73" customFormat="1">
      <c r="A68" s="11"/>
      <c r="B68" s="11"/>
      <c r="C68" s="11"/>
      <c r="D68" s="11"/>
      <c r="E68" s="12"/>
      <c r="F68" s="12"/>
      <c r="G68" s="13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1"/>
      <c r="W68" s="11"/>
      <c r="X68" s="11"/>
      <c r="Y68" s="11"/>
      <c r="AA68" s="11"/>
      <c r="AB68" s="11"/>
      <c r="AC68" s="11"/>
      <c r="AD68" s="11"/>
      <c r="AE68" s="11"/>
    </row>
    <row r="69" spans="1:31" s="73" customFormat="1">
      <c r="A69" s="11"/>
      <c r="B69" s="11"/>
      <c r="C69" s="11"/>
      <c r="D69" s="11"/>
      <c r="E69" s="12"/>
      <c r="F69" s="12"/>
      <c r="G69" s="13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1"/>
      <c r="W69" s="11"/>
      <c r="X69" s="11"/>
      <c r="Y69" s="11"/>
      <c r="AA69" s="11"/>
      <c r="AB69" s="11"/>
      <c r="AC69" s="11"/>
      <c r="AD69" s="11"/>
      <c r="AE69" s="11"/>
    </row>
    <row r="70" spans="1:31" s="73" customFormat="1">
      <c r="A70" s="11"/>
      <c r="B70" s="11"/>
      <c r="C70" s="11"/>
      <c r="D70" s="11"/>
      <c r="E70" s="12"/>
      <c r="F70" s="12"/>
      <c r="G70" s="13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1"/>
      <c r="W70" s="11"/>
      <c r="X70" s="11"/>
      <c r="Y70" s="11"/>
      <c r="AA70" s="11"/>
      <c r="AB70" s="11"/>
      <c r="AC70" s="11"/>
      <c r="AD70" s="11"/>
      <c r="AE70" s="11"/>
    </row>
    <row r="71" spans="1:31" s="73" customFormat="1">
      <c r="A71" s="11"/>
      <c r="B71" s="11"/>
      <c r="C71" s="11"/>
      <c r="D71" s="11"/>
      <c r="E71" s="12"/>
      <c r="F71" s="12"/>
      <c r="G71" s="13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1"/>
      <c r="W71" s="11"/>
      <c r="X71" s="11"/>
      <c r="Y71" s="11"/>
      <c r="AA71" s="11"/>
      <c r="AB71" s="11"/>
      <c r="AC71" s="11"/>
      <c r="AD71" s="11"/>
      <c r="AE71" s="11"/>
    </row>
    <row r="72" spans="1:31" s="73" customFormat="1">
      <c r="A72" s="11"/>
      <c r="B72" s="11"/>
      <c r="C72" s="11"/>
      <c r="D72" s="11"/>
      <c r="E72" s="12"/>
      <c r="F72" s="12"/>
      <c r="G72" s="13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1"/>
      <c r="W72" s="11"/>
      <c r="X72" s="11"/>
      <c r="Y72" s="11"/>
      <c r="AA72" s="11"/>
      <c r="AB72" s="11"/>
      <c r="AC72" s="11"/>
      <c r="AD72" s="11"/>
      <c r="AE72" s="11"/>
    </row>
    <row r="73" spans="1:31" s="73" customFormat="1">
      <c r="A73" s="11"/>
      <c r="B73" s="11"/>
      <c r="C73" s="11"/>
      <c r="D73" s="11"/>
      <c r="E73" s="12"/>
      <c r="F73" s="12"/>
      <c r="G73" s="13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1"/>
      <c r="W73" s="11"/>
      <c r="X73" s="11"/>
      <c r="Y73" s="11"/>
      <c r="AA73" s="11"/>
      <c r="AB73" s="11"/>
      <c r="AC73" s="11"/>
      <c r="AD73" s="11"/>
      <c r="AE73" s="11"/>
    </row>
    <row r="74" spans="1:31" s="73" customFormat="1">
      <c r="A74" s="11"/>
      <c r="B74" s="11"/>
      <c r="C74" s="11"/>
      <c r="D74" s="11"/>
      <c r="E74" s="12"/>
      <c r="F74" s="12"/>
      <c r="G74" s="13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1"/>
      <c r="W74" s="11"/>
      <c r="X74" s="11"/>
      <c r="Y74" s="11"/>
      <c r="AA74" s="11"/>
      <c r="AB74" s="11"/>
      <c r="AC74" s="11"/>
      <c r="AD74" s="11"/>
      <c r="AE74" s="11"/>
    </row>
    <row r="75" spans="1:31" s="73" customFormat="1">
      <c r="A75" s="11"/>
      <c r="B75" s="11"/>
      <c r="C75" s="11"/>
      <c r="D75" s="11"/>
      <c r="E75" s="12"/>
      <c r="F75" s="12"/>
      <c r="G75" s="13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1"/>
      <c r="W75" s="11"/>
      <c r="X75" s="11"/>
      <c r="Y75" s="11"/>
      <c r="AA75" s="11"/>
      <c r="AB75" s="11"/>
      <c r="AC75" s="11"/>
      <c r="AD75" s="11"/>
      <c r="AE75" s="11"/>
    </row>
    <row r="76" spans="1:31" s="73" customFormat="1">
      <c r="A76" s="11"/>
      <c r="B76" s="11"/>
      <c r="C76" s="11"/>
      <c r="D76" s="11"/>
      <c r="E76" s="12"/>
      <c r="F76" s="12"/>
      <c r="G76" s="13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1"/>
      <c r="W76" s="11"/>
      <c r="X76" s="11"/>
      <c r="Y76" s="11"/>
      <c r="AA76" s="11"/>
      <c r="AB76" s="11"/>
      <c r="AC76" s="11"/>
      <c r="AD76" s="11"/>
      <c r="AE76" s="11"/>
    </row>
    <row r="77" spans="1:31" s="73" customFormat="1">
      <c r="A77" s="11"/>
      <c r="B77" s="11"/>
      <c r="C77" s="11"/>
      <c r="D77" s="11"/>
      <c r="E77" s="12"/>
      <c r="F77" s="12"/>
      <c r="G77" s="13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1"/>
      <c r="W77" s="11"/>
      <c r="X77" s="11"/>
      <c r="Y77" s="11"/>
      <c r="AA77" s="11"/>
      <c r="AB77" s="11"/>
      <c r="AC77" s="11"/>
      <c r="AD77" s="11"/>
      <c r="AE77" s="11"/>
    </row>
    <row r="78" spans="1:31" s="73" customFormat="1">
      <c r="A78" s="11"/>
      <c r="B78" s="11"/>
      <c r="C78" s="11"/>
      <c r="D78" s="11"/>
      <c r="E78" s="12"/>
      <c r="F78" s="12"/>
      <c r="G78" s="13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1"/>
      <c r="W78" s="11"/>
      <c r="X78" s="11"/>
      <c r="Y78" s="11"/>
      <c r="AA78" s="11"/>
      <c r="AB78" s="11"/>
      <c r="AC78" s="11"/>
      <c r="AD78" s="11"/>
      <c r="AE78" s="11"/>
    </row>
    <row r="79" spans="1:31" s="73" customFormat="1">
      <c r="A79" s="11"/>
      <c r="B79" s="11"/>
      <c r="C79" s="11"/>
      <c r="D79" s="11"/>
      <c r="E79" s="12"/>
      <c r="F79" s="12"/>
      <c r="G79" s="13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1"/>
      <c r="W79" s="11"/>
      <c r="X79" s="11"/>
      <c r="Y79" s="11"/>
      <c r="AA79" s="11"/>
      <c r="AB79" s="11"/>
      <c r="AC79" s="11"/>
      <c r="AD79" s="11"/>
      <c r="AE79" s="11"/>
    </row>
    <row r="80" spans="1:31" s="73" customFormat="1">
      <c r="A80" s="11"/>
      <c r="B80" s="11"/>
      <c r="C80" s="11"/>
      <c r="D80" s="11"/>
      <c r="E80" s="12"/>
      <c r="F80" s="12"/>
      <c r="G80" s="13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1"/>
      <c r="W80" s="11"/>
      <c r="X80" s="11"/>
      <c r="Y80" s="11"/>
      <c r="AA80" s="11"/>
      <c r="AB80" s="11"/>
      <c r="AC80" s="11"/>
      <c r="AD80" s="11"/>
      <c r="AE80" s="11"/>
    </row>
    <row r="81" spans="1:31" s="73" customFormat="1">
      <c r="A81" s="11"/>
      <c r="B81" s="11"/>
      <c r="C81" s="11"/>
      <c r="D81" s="11"/>
      <c r="E81" s="12"/>
      <c r="F81" s="12"/>
      <c r="G81" s="13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1"/>
      <c r="W81" s="11"/>
      <c r="X81" s="11"/>
      <c r="Y81" s="11"/>
      <c r="AA81" s="11"/>
      <c r="AB81" s="11"/>
      <c r="AC81" s="11"/>
      <c r="AD81" s="11"/>
      <c r="AE81" s="11"/>
    </row>
    <row r="82" spans="1:31" s="73" customFormat="1">
      <c r="A82" s="11"/>
      <c r="B82" s="11"/>
      <c r="C82" s="11"/>
      <c r="D82" s="11"/>
      <c r="E82" s="12"/>
      <c r="F82" s="12"/>
      <c r="G82" s="13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1"/>
      <c r="W82" s="11"/>
      <c r="X82" s="11"/>
      <c r="Y82" s="11"/>
      <c r="AA82" s="11"/>
      <c r="AB82" s="11"/>
      <c r="AC82" s="11"/>
      <c r="AD82" s="11"/>
      <c r="AE82" s="11"/>
    </row>
    <row r="83" spans="1:31" s="73" customFormat="1">
      <c r="A83" s="11"/>
      <c r="B83" s="11"/>
      <c r="C83" s="11"/>
      <c r="D83" s="11"/>
      <c r="E83" s="12"/>
      <c r="F83" s="12"/>
      <c r="G83" s="13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1"/>
      <c r="W83" s="11"/>
      <c r="X83" s="11"/>
      <c r="Y83" s="11"/>
      <c r="AA83" s="11"/>
      <c r="AB83" s="11"/>
      <c r="AC83" s="11"/>
      <c r="AD83" s="11"/>
      <c r="AE83" s="11"/>
    </row>
    <row r="84" spans="1:31" s="73" customFormat="1">
      <c r="A84" s="11"/>
      <c r="B84" s="11"/>
      <c r="C84" s="11"/>
      <c r="D84" s="11"/>
      <c r="E84" s="12"/>
      <c r="F84" s="12"/>
      <c r="G84" s="13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1"/>
      <c r="W84" s="11"/>
      <c r="X84" s="11"/>
      <c r="Y84" s="11"/>
      <c r="AA84" s="11"/>
      <c r="AB84" s="11"/>
      <c r="AC84" s="11"/>
      <c r="AD84" s="11"/>
      <c r="AE84" s="11"/>
    </row>
    <row r="85" spans="1:31" s="73" customFormat="1">
      <c r="A85" s="11"/>
      <c r="B85" s="11"/>
      <c r="C85" s="11"/>
      <c r="D85" s="11"/>
      <c r="E85" s="12"/>
      <c r="F85" s="12"/>
      <c r="G85" s="13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1"/>
      <c r="W85" s="11"/>
      <c r="X85" s="11"/>
      <c r="Y85" s="11"/>
      <c r="AA85" s="11"/>
      <c r="AB85" s="11"/>
      <c r="AC85" s="11"/>
      <c r="AD85" s="11"/>
      <c r="AE85" s="11"/>
    </row>
    <row r="86" spans="1:31" s="73" customFormat="1">
      <c r="A86" s="11"/>
      <c r="B86" s="11"/>
      <c r="C86" s="11"/>
      <c r="D86" s="11"/>
      <c r="E86" s="12"/>
      <c r="F86" s="12"/>
      <c r="G86" s="13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1"/>
      <c r="W86" s="11"/>
      <c r="X86" s="11"/>
      <c r="Y86" s="11"/>
      <c r="AA86" s="11"/>
      <c r="AB86" s="11"/>
      <c r="AC86" s="11"/>
      <c r="AD86" s="11"/>
      <c r="AE86" s="11"/>
    </row>
    <row r="87" spans="1:31" s="73" customFormat="1">
      <c r="A87" s="11"/>
      <c r="B87" s="11"/>
      <c r="C87" s="11"/>
      <c r="D87" s="11"/>
      <c r="E87" s="12"/>
      <c r="F87" s="12"/>
      <c r="G87" s="13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1"/>
      <c r="W87" s="11"/>
      <c r="X87" s="11"/>
      <c r="Y87" s="11"/>
      <c r="AA87" s="11"/>
      <c r="AB87" s="11"/>
      <c r="AC87" s="11"/>
      <c r="AD87" s="11"/>
      <c r="AE87" s="11"/>
    </row>
    <row r="88" spans="1:31" s="73" customFormat="1">
      <c r="A88" s="11"/>
      <c r="B88" s="11"/>
      <c r="C88" s="11"/>
      <c r="D88" s="11"/>
      <c r="E88" s="12"/>
      <c r="F88" s="12"/>
      <c r="G88" s="13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1"/>
      <c r="W88" s="11"/>
      <c r="X88" s="11"/>
      <c r="Y88" s="11"/>
      <c r="AA88" s="11"/>
      <c r="AB88" s="11"/>
      <c r="AC88" s="11"/>
      <c r="AD88" s="11"/>
      <c r="AE88" s="11"/>
    </row>
    <row r="89" spans="1:31" s="73" customFormat="1">
      <c r="A89" s="11"/>
      <c r="B89" s="11"/>
      <c r="C89" s="11"/>
      <c r="D89" s="11"/>
      <c r="E89" s="12"/>
      <c r="F89" s="12"/>
      <c r="G89" s="13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1"/>
      <c r="W89" s="11"/>
      <c r="X89" s="11"/>
      <c r="Y89" s="11"/>
      <c r="AA89" s="11"/>
      <c r="AB89" s="11"/>
      <c r="AC89" s="11"/>
      <c r="AD89" s="11"/>
      <c r="AE89" s="11"/>
    </row>
    <row r="90" spans="1:31" s="73" customFormat="1">
      <c r="A90" s="11"/>
      <c r="B90" s="11"/>
      <c r="C90" s="11"/>
      <c r="D90" s="11"/>
      <c r="E90" s="12"/>
      <c r="F90" s="12"/>
      <c r="G90" s="13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1"/>
      <c r="W90" s="11"/>
      <c r="X90" s="11"/>
      <c r="Y90" s="11"/>
      <c r="AA90" s="11"/>
      <c r="AB90" s="11"/>
      <c r="AC90" s="11"/>
      <c r="AD90" s="11"/>
      <c r="AE90" s="11"/>
    </row>
    <row r="91" spans="1:31" s="73" customFormat="1">
      <c r="A91" s="11"/>
      <c r="B91" s="11"/>
      <c r="C91" s="11"/>
      <c r="D91" s="11"/>
      <c r="E91" s="12"/>
      <c r="F91" s="12"/>
      <c r="G91" s="13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1"/>
      <c r="W91" s="11"/>
      <c r="X91" s="11"/>
      <c r="Y91" s="11"/>
      <c r="AA91" s="11"/>
      <c r="AB91" s="11"/>
      <c r="AC91" s="11"/>
      <c r="AD91" s="11"/>
      <c r="AE91" s="11"/>
    </row>
    <row r="92" spans="1:31" s="73" customFormat="1">
      <c r="A92" s="11"/>
      <c r="B92" s="11"/>
      <c r="C92" s="11"/>
      <c r="D92" s="11"/>
      <c r="E92" s="12"/>
      <c r="F92" s="12"/>
      <c r="G92" s="13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1"/>
      <c r="W92" s="11"/>
      <c r="X92" s="11"/>
      <c r="Y92" s="11"/>
      <c r="AA92" s="11"/>
      <c r="AB92" s="11"/>
      <c r="AC92" s="11"/>
      <c r="AD92" s="11"/>
      <c r="AE92" s="11"/>
    </row>
    <row r="93" spans="1:31" s="73" customFormat="1">
      <c r="A93" s="11"/>
      <c r="B93" s="11"/>
      <c r="C93" s="11"/>
      <c r="D93" s="11"/>
      <c r="E93" s="12"/>
      <c r="F93" s="12"/>
      <c r="G93" s="13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1"/>
      <c r="W93" s="11"/>
      <c r="X93" s="11"/>
      <c r="Y93" s="11"/>
      <c r="AA93" s="11"/>
      <c r="AB93" s="11"/>
      <c r="AC93" s="11"/>
      <c r="AD93" s="11"/>
      <c r="AE93" s="11"/>
    </row>
    <row r="94" spans="1:31" s="73" customFormat="1">
      <c r="A94" s="11"/>
      <c r="B94" s="11"/>
      <c r="C94" s="11"/>
      <c r="D94" s="11"/>
      <c r="E94" s="12"/>
      <c r="F94" s="12"/>
      <c r="G94" s="13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1"/>
      <c r="W94" s="11"/>
      <c r="X94" s="11"/>
      <c r="Y94" s="11"/>
      <c r="AA94" s="11"/>
      <c r="AB94" s="11"/>
      <c r="AC94" s="11"/>
      <c r="AD94" s="11"/>
      <c r="AE94" s="11"/>
    </row>
    <row r="95" spans="1:31" s="73" customFormat="1">
      <c r="A95" s="11"/>
      <c r="B95" s="11"/>
      <c r="C95" s="11"/>
      <c r="D95" s="11"/>
      <c r="E95" s="12"/>
      <c r="F95" s="12"/>
      <c r="G95" s="13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1"/>
      <c r="W95" s="11"/>
      <c r="X95" s="11"/>
      <c r="Y95" s="11"/>
      <c r="AA95" s="11"/>
      <c r="AB95" s="11"/>
      <c r="AC95" s="11"/>
      <c r="AD95" s="11"/>
      <c r="AE95" s="11"/>
    </row>
    <row r="96" spans="1:31" s="73" customFormat="1">
      <c r="A96" s="11"/>
      <c r="B96" s="11"/>
      <c r="C96" s="11"/>
      <c r="D96" s="11"/>
      <c r="E96" s="12"/>
      <c r="F96" s="12"/>
      <c r="G96" s="13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1"/>
      <c r="W96" s="11"/>
      <c r="X96" s="11"/>
      <c r="Y96" s="11"/>
      <c r="AA96" s="11"/>
      <c r="AB96" s="11"/>
      <c r="AC96" s="11"/>
      <c r="AD96" s="11"/>
      <c r="AE96" s="11"/>
    </row>
    <row r="97" spans="1:31" s="73" customFormat="1">
      <c r="A97" s="11"/>
      <c r="B97" s="11"/>
      <c r="C97" s="11"/>
      <c r="D97" s="11"/>
      <c r="E97" s="12"/>
      <c r="F97" s="12"/>
      <c r="G97" s="13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1"/>
      <c r="W97" s="11"/>
      <c r="X97" s="11"/>
      <c r="Y97" s="11"/>
      <c r="AA97" s="11"/>
      <c r="AB97" s="11"/>
      <c r="AC97" s="11"/>
      <c r="AD97" s="11"/>
      <c r="AE97" s="11"/>
    </row>
    <row r="98" spans="1:31" s="73" customFormat="1">
      <c r="A98" s="11"/>
      <c r="B98" s="11"/>
      <c r="C98" s="11"/>
      <c r="D98" s="11"/>
      <c r="E98" s="12"/>
      <c r="F98" s="12"/>
      <c r="G98" s="13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1"/>
      <c r="W98" s="11"/>
      <c r="X98" s="11"/>
      <c r="Y98" s="11"/>
      <c r="AA98" s="11"/>
      <c r="AB98" s="11"/>
      <c r="AC98" s="11"/>
      <c r="AD98" s="11"/>
      <c r="AE98" s="11"/>
    </row>
    <row r="99" spans="1:31" s="73" customFormat="1">
      <c r="A99" s="11"/>
      <c r="B99" s="11"/>
      <c r="C99" s="11"/>
      <c r="D99" s="11"/>
      <c r="E99" s="12"/>
      <c r="F99" s="12"/>
      <c r="G99" s="13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1"/>
      <c r="W99" s="11"/>
      <c r="X99" s="11"/>
      <c r="Y99" s="11"/>
      <c r="AA99" s="11"/>
      <c r="AB99" s="11"/>
      <c r="AC99" s="11"/>
      <c r="AD99" s="11"/>
      <c r="AE99" s="11"/>
    </row>
  </sheetData>
  <autoFilter ref="A14:AE28" xr:uid="{00000000-0009-0000-0000-000000000000}"/>
  <mergeCells count="26">
    <mergeCell ref="AB12:AB13"/>
    <mergeCell ref="A12:A13"/>
    <mergeCell ref="B12:B13"/>
    <mergeCell ref="E12:E13"/>
    <mergeCell ref="F12:F13"/>
    <mergeCell ref="G12:G13"/>
    <mergeCell ref="I12:I13"/>
    <mergeCell ref="J12:J13"/>
    <mergeCell ref="K12:K13"/>
    <mergeCell ref="L12:L13"/>
    <mergeCell ref="AC12:AC13"/>
    <mergeCell ref="E10:U10"/>
    <mergeCell ref="V10:Y10"/>
    <mergeCell ref="AA10:AE10"/>
    <mergeCell ref="N11:N13"/>
    <mergeCell ref="U11:U13"/>
    <mergeCell ref="AE12:AE13"/>
    <mergeCell ref="H12:H13"/>
    <mergeCell ref="M12:M13"/>
    <mergeCell ref="O12:O13"/>
    <mergeCell ref="P12:P13"/>
    <mergeCell ref="Q12:Q13"/>
    <mergeCell ref="R12:R13"/>
    <mergeCell ref="S12:S13"/>
    <mergeCell ref="T12:T13"/>
    <mergeCell ref="AA12:AA13"/>
  </mergeCells>
  <printOptions horizontalCentered="1" verticalCentered="1"/>
  <pageMargins left="0.55118110236220474" right="0.39370078740157483" top="0.39370078740157483" bottom="0.35433070866141736" header="3.937007874015748E-2" footer="0"/>
  <pageSetup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51FC-0FAD-4EA7-8AF8-E0B0408711CD}">
  <dimension ref="A1:AD26"/>
  <sheetViews>
    <sheetView showGridLines="0" topLeftCell="B1" zoomScale="80" zoomScaleNormal="80" workbookViewId="0">
      <selection activeCell="V15" sqref="V15"/>
    </sheetView>
  </sheetViews>
  <sheetFormatPr defaultColWidth="11.42578125" defaultRowHeight="13.15"/>
  <cols>
    <col min="1" max="1" width="5.28515625" style="120" customWidth="1"/>
    <col min="2" max="2" width="34.140625" style="120" bestFit="1" customWidth="1"/>
    <col min="3" max="3" width="15.7109375" style="120" customWidth="1"/>
    <col min="4" max="4" width="9" style="120" customWidth="1"/>
    <col min="5" max="5" width="12.85546875" style="120" bestFit="1" customWidth="1"/>
    <col min="6" max="6" width="11" style="120" bestFit="1" customWidth="1"/>
    <col min="7" max="7" width="8.5703125" style="120" bestFit="1" customWidth="1"/>
    <col min="8" max="8" width="12.85546875" style="120" bestFit="1" customWidth="1"/>
    <col min="9" max="9" width="12.7109375" style="120" hidden="1" customWidth="1"/>
    <col min="10" max="10" width="15.28515625" style="120" hidden="1" customWidth="1"/>
    <col min="11" max="11" width="9" style="120" hidden="1" customWidth="1"/>
    <col min="12" max="12" width="20.5703125" style="120" bestFit="1" customWidth="1"/>
    <col min="13" max="13" width="11.5703125" style="120" bestFit="1" customWidth="1"/>
    <col min="14" max="14" width="9.85546875" style="120" bestFit="1" customWidth="1"/>
    <col min="15" max="15" width="9.5703125" style="120" bestFit="1" customWidth="1"/>
    <col min="16" max="16" width="11.5703125" style="120" bestFit="1" customWidth="1"/>
    <col min="17" max="17" width="13.7109375" style="120" bestFit="1" customWidth="1"/>
    <col min="18" max="18" width="12.85546875" style="120" bestFit="1" customWidth="1"/>
    <col min="19" max="19" width="9.85546875" style="120" bestFit="1" customWidth="1"/>
    <col min="20" max="20" width="12.5703125" style="120" bestFit="1" customWidth="1"/>
    <col min="21" max="21" width="13.42578125" style="120" bestFit="1" customWidth="1"/>
    <col min="22" max="22" width="12.85546875" style="120" bestFit="1" customWidth="1"/>
    <col min="23" max="23" width="6.42578125" style="120" bestFit="1" customWidth="1"/>
    <col min="24" max="24" width="20.85546875" style="120" bestFit="1" customWidth="1"/>
    <col min="25" max="25" width="9.85546875" style="120" bestFit="1" customWidth="1"/>
    <col min="26" max="26" width="12.85546875" style="120" bestFit="1" customWidth="1"/>
    <col min="27" max="27" width="15.5703125" style="120" bestFit="1" customWidth="1"/>
    <col min="28" max="28" width="15.28515625" style="120" bestFit="1" customWidth="1"/>
    <col min="29" max="29" width="6.5703125" style="120" bestFit="1" customWidth="1"/>
    <col min="30" max="16384" width="11.42578125" style="120"/>
  </cols>
  <sheetData>
    <row r="1" spans="1:29" s="11" customFormat="1">
      <c r="E1" s="12"/>
      <c r="F1" s="12"/>
      <c r="G1" s="13"/>
      <c r="H1" s="12"/>
      <c r="I1" s="13"/>
      <c r="J1" s="12"/>
      <c r="K1" s="12"/>
      <c r="L1" s="12"/>
      <c r="M1" s="12"/>
      <c r="N1" s="12"/>
      <c r="O1" s="12"/>
      <c r="P1" s="12"/>
      <c r="Q1" s="84"/>
      <c r="R1" s="12"/>
      <c r="S1" s="231"/>
      <c r="T1" s="231"/>
      <c r="U1" s="232"/>
      <c r="V1" s="232"/>
      <c r="W1" s="233"/>
    </row>
    <row r="2" spans="1:29" s="11" customFormat="1">
      <c r="E2" s="12"/>
      <c r="F2" s="12"/>
      <c r="G2" s="80"/>
      <c r="H2" s="12"/>
      <c r="I2" s="12"/>
      <c r="J2" s="12"/>
      <c r="K2" s="12"/>
      <c r="L2" s="12"/>
      <c r="M2" s="12"/>
      <c r="N2" s="12"/>
      <c r="O2" s="12"/>
      <c r="P2" s="12"/>
      <c r="Q2" s="12"/>
      <c r="R2" s="117"/>
      <c r="S2" s="231"/>
      <c r="T2" s="231"/>
      <c r="U2" s="232"/>
      <c r="V2" s="232"/>
      <c r="W2" s="233"/>
    </row>
    <row r="3" spans="1:29" s="11" customFormat="1">
      <c r="E3" s="12"/>
      <c r="F3" s="12"/>
      <c r="G3" s="13"/>
      <c r="H3" s="12"/>
      <c r="I3" s="12"/>
      <c r="J3" s="12"/>
      <c r="K3" s="12"/>
      <c r="L3" s="12"/>
      <c r="M3" s="12"/>
      <c r="N3" s="12"/>
      <c r="O3" s="12"/>
      <c r="P3" s="12"/>
      <c r="Q3" s="12"/>
      <c r="R3" s="151"/>
      <c r="S3" s="234"/>
      <c r="T3" s="234"/>
      <c r="U3" s="232"/>
      <c r="V3" s="232"/>
      <c r="W3" s="233"/>
    </row>
    <row r="4" spans="1:29" s="11" customFormat="1">
      <c r="E4" s="12"/>
      <c r="F4" s="12"/>
      <c r="G4" s="80"/>
      <c r="H4" s="12"/>
      <c r="I4" s="12"/>
      <c r="J4" s="12"/>
      <c r="K4" s="12"/>
      <c r="L4" s="12"/>
      <c r="M4" s="12"/>
      <c r="N4" s="12"/>
      <c r="O4" s="12"/>
      <c r="P4" s="12"/>
      <c r="Q4" s="12"/>
      <c r="R4" s="117"/>
      <c r="S4" s="234"/>
      <c r="T4" s="234"/>
      <c r="U4" s="232"/>
      <c r="V4" s="232"/>
      <c r="W4" s="233"/>
    </row>
    <row r="5" spans="1:29" s="11" customFormat="1">
      <c r="E5" s="12"/>
      <c r="F5" s="12"/>
      <c r="G5" s="80"/>
      <c r="H5" s="12"/>
      <c r="I5" s="12"/>
      <c r="J5" s="12"/>
      <c r="K5" s="12"/>
      <c r="L5" s="12"/>
      <c r="M5" s="12"/>
      <c r="N5" s="80"/>
      <c r="O5" s="12"/>
      <c r="P5" s="12"/>
      <c r="Q5" s="12"/>
      <c r="R5" s="117"/>
      <c r="S5" s="234"/>
      <c r="T5" s="234"/>
      <c r="U5" s="232"/>
      <c r="V5" s="232"/>
      <c r="W5" s="233"/>
    </row>
    <row r="6" spans="1:29" s="11" customFormat="1">
      <c r="E6" s="80"/>
      <c r="F6" s="80"/>
      <c r="G6" s="80"/>
      <c r="H6" s="12"/>
      <c r="I6" s="12"/>
      <c r="J6" s="12"/>
      <c r="K6" s="12"/>
      <c r="L6" s="12"/>
      <c r="M6" s="12"/>
      <c r="N6" s="12"/>
      <c r="O6" s="12"/>
      <c r="P6" s="12"/>
      <c r="Q6" s="12"/>
      <c r="R6" s="117"/>
      <c r="S6" s="234"/>
      <c r="T6" s="234"/>
      <c r="U6" s="232"/>
      <c r="V6" s="232"/>
      <c r="W6" s="233"/>
    </row>
    <row r="7" spans="1:29" s="11" customFormat="1">
      <c r="A7" s="15"/>
      <c r="E7" s="12"/>
      <c r="F7" s="80"/>
      <c r="G7" s="80"/>
      <c r="H7" s="12"/>
      <c r="I7" s="12"/>
      <c r="J7" s="12"/>
      <c r="K7" s="12"/>
      <c r="L7" s="12"/>
      <c r="M7" s="12"/>
      <c r="N7" s="84"/>
      <c r="O7" s="84"/>
      <c r="P7" s="84"/>
      <c r="Q7" s="12"/>
      <c r="R7" s="115"/>
      <c r="S7" s="234"/>
      <c r="T7" s="234"/>
      <c r="U7" s="232"/>
      <c r="V7" s="232"/>
      <c r="W7" s="233"/>
    </row>
    <row r="8" spans="1:29" s="11" customFormat="1">
      <c r="A8" s="15"/>
      <c r="E8" s="12"/>
      <c r="F8" s="12"/>
      <c r="G8" s="13"/>
      <c r="H8" s="12"/>
      <c r="I8" s="12"/>
      <c r="J8" s="12"/>
      <c r="K8" s="12"/>
      <c r="L8" s="12"/>
      <c r="M8" s="12"/>
      <c r="N8" s="12"/>
      <c r="O8" s="12"/>
      <c r="P8" s="84"/>
      <c r="Q8" s="12"/>
      <c r="R8" s="117"/>
      <c r="S8" s="231"/>
      <c r="T8" s="231"/>
      <c r="U8" s="232"/>
      <c r="V8" s="232"/>
      <c r="W8" s="233"/>
    </row>
    <row r="9" spans="1:29" s="11" customFormat="1" ht="13.9" thickBot="1">
      <c r="A9" s="15" t="s">
        <v>126</v>
      </c>
      <c r="E9" s="12"/>
      <c r="F9" s="12"/>
      <c r="G9" s="13"/>
      <c r="H9" s="84"/>
      <c r="I9" s="12"/>
      <c r="J9" s="12"/>
      <c r="K9" s="12"/>
      <c r="L9" s="12"/>
      <c r="M9" s="12"/>
      <c r="N9" s="12"/>
      <c r="O9" s="12"/>
      <c r="P9" s="12"/>
      <c r="Q9" s="12"/>
      <c r="R9" s="117"/>
      <c r="S9" s="231"/>
      <c r="T9" s="231"/>
      <c r="U9" s="232"/>
      <c r="V9" s="232"/>
      <c r="W9" s="233"/>
    </row>
    <row r="10" spans="1:29" s="11" customFormat="1" ht="13.9" thickBot="1">
      <c r="A10" s="15" t="str">
        <f>+'LUXIMIA '!A11</f>
        <v>02. DEL 16-31 ENERO 2025</v>
      </c>
      <c r="D10" s="254"/>
      <c r="E10" s="331" t="s">
        <v>3</v>
      </c>
      <c r="F10" s="331"/>
      <c r="G10" s="331"/>
      <c r="H10" s="331"/>
      <c r="I10" s="331"/>
      <c r="J10" s="331"/>
      <c r="K10" s="331"/>
      <c r="L10" s="332"/>
      <c r="M10" s="332"/>
      <c r="N10" s="332"/>
      <c r="O10" s="332"/>
      <c r="P10" s="332"/>
      <c r="Q10" s="331"/>
      <c r="R10" s="332"/>
      <c r="S10" s="333"/>
      <c r="T10" s="333"/>
      <c r="U10" s="333"/>
      <c r="V10" s="334"/>
      <c r="W10" s="233"/>
      <c r="X10" s="306" t="s">
        <v>4</v>
      </c>
      <c r="Y10" s="307"/>
      <c r="Z10" s="307"/>
      <c r="AA10" s="307"/>
      <c r="AB10" s="307"/>
    </row>
    <row r="11" spans="1:29" s="11" customFormat="1" ht="13.9" thickBot="1">
      <c r="A11" s="15"/>
      <c r="E11" s="12"/>
      <c r="F11" s="12"/>
      <c r="G11" s="13"/>
      <c r="H11" s="12"/>
      <c r="I11" s="12"/>
      <c r="J11" s="12"/>
      <c r="K11" s="24"/>
      <c r="L11" s="308" t="s">
        <v>5</v>
      </c>
      <c r="M11" s="24"/>
      <c r="N11" s="24"/>
      <c r="O11" s="24"/>
      <c r="P11" s="24"/>
      <c r="Q11" s="12"/>
      <c r="R11" s="324" t="s">
        <v>6</v>
      </c>
      <c r="S11" s="232"/>
      <c r="T11" s="232"/>
      <c r="U11" s="232"/>
      <c r="V11" s="232"/>
      <c r="W11" s="233"/>
      <c r="X11" s="15"/>
      <c r="Y11" s="235">
        <v>0.03</v>
      </c>
      <c r="Z11" s="15"/>
      <c r="AA11" s="15"/>
      <c r="AB11" s="15"/>
    </row>
    <row r="12" spans="1:29" s="21" customFormat="1" ht="38.25" customHeight="1" thickBot="1">
      <c r="A12" s="300" t="s">
        <v>7</v>
      </c>
      <c r="B12" s="318" t="s">
        <v>8</v>
      </c>
      <c r="C12" s="92" t="s">
        <v>9</v>
      </c>
      <c r="D12" s="92" t="s">
        <v>10</v>
      </c>
      <c r="E12" s="316" t="s">
        <v>11</v>
      </c>
      <c r="F12" s="300" t="s">
        <v>12</v>
      </c>
      <c r="G12" s="320" t="s">
        <v>13</v>
      </c>
      <c r="H12" s="300" t="s">
        <v>14</v>
      </c>
      <c r="I12" s="92" t="s">
        <v>15</v>
      </c>
      <c r="J12" s="92" t="s">
        <v>105</v>
      </c>
      <c r="K12" s="316" t="s">
        <v>17</v>
      </c>
      <c r="L12" s="309"/>
      <c r="M12" s="316" t="s">
        <v>18</v>
      </c>
      <c r="N12" s="316" t="s">
        <v>19</v>
      </c>
      <c r="O12" s="316" t="s">
        <v>20</v>
      </c>
      <c r="P12" s="316" t="s">
        <v>21</v>
      </c>
      <c r="Q12" s="327" t="s">
        <v>22</v>
      </c>
      <c r="R12" s="325"/>
      <c r="S12" s="236">
        <v>0.04</v>
      </c>
      <c r="T12" s="267" t="s">
        <v>24</v>
      </c>
      <c r="U12" s="68" t="s">
        <v>25</v>
      </c>
      <c r="V12" s="71" t="s">
        <v>26</v>
      </c>
      <c r="W12" s="74"/>
      <c r="X12" s="329" t="s">
        <v>27</v>
      </c>
      <c r="Y12" s="300" t="s">
        <v>28</v>
      </c>
      <c r="Z12" s="300" t="s">
        <v>29</v>
      </c>
      <c r="AA12" s="90" t="s">
        <v>30</v>
      </c>
      <c r="AB12" s="314" t="s">
        <v>31</v>
      </c>
    </row>
    <row r="13" spans="1:29" s="21" customFormat="1" ht="14.45" thickBot="1">
      <c r="A13" s="301"/>
      <c r="B13" s="319"/>
      <c r="C13" s="93"/>
      <c r="D13" s="93"/>
      <c r="E13" s="317"/>
      <c r="F13" s="301"/>
      <c r="G13" s="321"/>
      <c r="H13" s="301"/>
      <c r="I13" s="91"/>
      <c r="J13" s="91"/>
      <c r="K13" s="317"/>
      <c r="L13" s="310"/>
      <c r="M13" s="317"/>
      <c r="N13" s="317"/>
      <c r="O13" s="317"/>
      <c r="P13" s="317"/>
      <c r="Q13" s="328"/>
      <c r="R13" s="326"/>
      <c r="S13" s="66"/>
      <c r="T13" s="66"/>
      <c r="U13" s="66"/>
      <c r="V13" s="66"/>
      <c r="W13" s="75"/>
      <c r="X13" s="330"/>
      <c r="Y13" s="301"/>
      <c r="Z13" s="301"/>
      <c r="AA13" s="50">
        <v>0.16</v>
      </c>
      <c r="AB13" s="315"/>
    </row>
    <row r="14" spans="1:29" s="11" customFormat="1" ht="16.5" customHeight="1">
      <c r="A14" s="70">
        <v>1</v>
      </c>
      <c r="B14" s="149" t="s">
        <v>127</v>
      </c>
      <c r="C14" s="149" t="s">
        <v>128</v>
      </c>
      <c r="D14" s="149" t="s">
        <v>129</v>
      </c>
      <c r="E14" s="237">
        <f t="shared" ref="E14" si="0">+F14*30</f>
        <v>29871.600000000002</v>
      </c>
      <c r="F14" s="238">
        <v>995.72</v>
      </c>
      <c r="G14" s="239">
        <v>16</v>
      </c>
      <c r="H14" s="240">
        <f>+F14*G14</f>
        <v>15931.52</v>
      </c>
      <c r="I14" s="240"/>
      <c r="J14" s="240"/>
      <c r="K14" s="147"/>
      <c r="L14" s="241">
        <f>SUM(H14:K14)</f>
        <v>15931.52</v>
      </c>
      <c r="M14" s="242">
        <v>2591.15</v>
      </c>
      <c r="N14" s="242">
        <v>443.05</v>
      </c>
      <c r="O14" s="243"/>
      <c r="P14" s="242">
        <v>2103.92</v>
      </c>
      <c r="Q14" s="244">
        <f>SUM(M14:P14)</f>
        <v>5138.1200000000008</v>
      </c>
      <c r="R14" s="245">
        <f>+L14-Q14</f>
        <v>10793.4</v>
      </c>
      <c r="S14" s="246">
        <v>637.26080000000002</v>
      </c>
      <c r="T14" s="246">
        <v>4011.37</v>
      </c>
      <c r="U14" s="246">
        <f>S14+T14</f>
        <v>4648.6307999999999</v>
      </c>
      <c r="V14" s="246">
        <f>+L14</f>
        <v>15931.52</v>
      </c>
      <c r="W14" s="119"/>
      <c r="X14" s="247">
        <f>+V14+U14</f>
        <v>20580.150799999999</v>
      </c>
      <c r="Y14" s="248">
        <f>+X14*$Y$11</f>
        <v>617.40452399999992</v>
      </c>
      <c r="Z14" s="249">
        <f>+X14+Y14</f>
        <v>21197.555324000001</v>
      </c>
      <c r="AA14" s="248">
        <f>+Z14*$AA$13</f>
        <v>3391.6088518400002</v>
      </c>
      <c r="AB14" s="248">
        <f>+Z14+AA14</f>
        <v>24589.16417584</v>
      </c>
    </row>
    <row r="15" spans="1:29" s="11" customFormat="1" ht="16.5" customHeight="1" thickBot="1">
      <c r="A15" s="70"/>
      <c r="B15" s="149" t="s">
        <v>130</v>
      </c>
      <c r="C15" s="149" t="s">
        <v>128</v>
      </c>
      <c r="D15" s="149"/>
      <c r="E15" s="293">
        <f>F15*30</f>
        <v>14935.800000000001</v>
      </c>
      <c r="F15" s="238">
        <v>497.86</v>
      </c>
      <c r="G15" s="239">
        <v>5</v>
      </c>
      <c r="H15" s="240">
        <f>+F15*G15</f>
        <v>2489.3000000000002</v>
      </c>
      <c r="I15" s="240"/>
      <c r="J15" s="240"/>
      <c r="K15" s="147"/>
      <c r="L15" s="241">
        <f>SUM(H15:K15)</f>
        <v>2489.3000000000002</v>
      </c>
      <c r="M15" s="242">
        <v>259.36</v>
      </c>
      <c r="N15" s="242">
        <v>65.98</v>
      </c>
      <c r="O15" s="243"/>
      <c r="P15" s="242"/>
      <c r="Q15" s="244">
        <f>SUM(M15:P15)</f>
        <v>325.34000000000003</v>
      </c>
      <c r="R15" s="245">
        <f>+L15-Q15</f>
        <v>2163.96</v>
      </c>
      <c r="S15" s="246">
        <v>99.572000000000003</v>
      </c>
      <c r="T15" s="246">
        <v>670.36</v>
      </c>
      <c r="U15" s="246">
        <f>S15+T15</f>
        <v>769.93200000000002</v>
      </c>
      <c r="V15" s="246">
        <f>+L15</f>
        <v>2489.3000000000002</v>
      </c>
      <c r="W15" s="119"/>
      <c r="X15" s="247">
        <f>+V15+U15</f>
        <v>3259.232</v>
      </c>
      <c r="Y15" s="248">
        <f>+X15*$Y$11</f>
        <v>97.776960000000003</v>
      </c>
      <c r="Z15" s="249">
        <f>+X15+Y15</f>
        <v>3357.0089600000001</v>
      </c>
      <c r="AA15" s="248">
        <f>+Z15*$AA$13</f>
        <v>537.12143360000005</v>
      </c>
      <c r="AB15" s="248">
        <f>+Z15+AA15</f>
        <v>3894.1303936000004</v>
      </c>
    </row>
    <row r="16" spans="1:29" s="64" customFormat="1" ht="13.9" thickBot="1">
      <c r="A16" s="120"/>
      <c r="B16" s="120"/>
      <c r="C16" s="120" t="s">
        <v>124</v>
      </c>
      <c r="D16" s="120"/>
      <c r="E16" s="250">
        <f>SUM(E14:E15)</f>
        <v>44807.4</v>
      </c>
      <c r="F16" s="250">
        <f t="shared" ref="F16:AA16" si="1">SUM(F14:F15)</f>
        <v>1493.58</v>
      </c>
      <c r="G16" s="250">
        <f t="shared" si="1"/>
        <v>21</v>
      </c>
      <c r="H16" s="250">
        <f t="shared" si="1"/>
        <v>18420.82</v>
      </c>
      <c r="I16" s="250">
        <f t="shared" si="1"/>
        <v>0</v>
      </c>
      <c r="J16" s="250">
        <f t="shared" si="1"/>
        <v>0</v>
      </c>
      <c r="K16" s="250">
        <f t="shared" si="1"/>
        <v>0</v>
      </c>
      <c r="L16" s="250">
        <f t="shared" si="1"/>
        <v>18420.82</v>
      </c>
      <c r="M16" s="250">
        <f t="shared" si="1"/>
        <v>2850.51</v>
      </c>
      <c r="N16" s="250">
        <f t="shared" si="1"/>
        <v>509.03000000000003</v>
      </c>
      <c r="O16" s="250">
        <f t="shared" si="1"/>
        <v>0</v>
      </c>
      <c r="P16" s="250">
        <f t="shared" si="1"/>
        <v>2103.92</v>
      </c>
      <c r="Q16" s="250">
        <f t="shared" si="1"/>
        <v>5463.4600000000009</v>
      </c>
      <c r="R16" s="250">
        <f t="shared" si="1"/>
        <v>12957.36</v>
      </c>
      <c r="S16" s="250">
        <f t="shared" si="1"/>
        <v>736.83280000000002</v>
      </c>
      <c r="T16" s="250">
        <f t="shared" si="1"/>
        <v>4681.7299999999996</v>
      </c>
      <c r="U16" s="250">
        <f t="shared" si="1"/>
        <v>5418.5627999999997</v>
      </c>
      <c r="V16" s="250">
        <f t="shared" si="1"/>
        <v>18420.82</v>
      </c>
      <c r="W16" s="250">
        <f t="shared" si="1"/>
        <v>0</v>
      </c>
      <c r="X16" s="250">
        <f t="shared" si="1"/>
        <v>23839.382799999999</v>
      </c>
      <c r="Y16" s="250">
        <f t="shared" si="1"/>
        <v>715.18148399999995</v>
      </c>
      <c r="Z16" s="250">
        <f t="shared" si="1"/>
        <v>24554.564284</v>
      </c>
      <c r="AA16" s="250">
        <f t="shared" si="1"/>
        <v>3928.7302854400004</v>
      </c>
      <c r="AB16" s="250">
        <f>SUM(AB14:AB15)</f>
        <v>28483.29456944</v>
      </c>
      <c r="AC16" s="165"/>
    </row>
    <row r="17" spans="2:30" s="11" customFormat="1">
      <c r="E17" s="12"/>
      <c r="F17" s="12"/>
      <c r="G17" s="13"/>
      <c r="H17" s="251"/>
      <c r="I17" s="12"/>
      <c r="J17" s="12"/>
      <c r="K17" s="12"/>
      <c r="L17" s="12"/>
      <c r="M17" s="255"/>
      <c r="N17" s="251"/>
      <c r="O17" s="12"/>
      <c r="Q17" s="80"/>
      <c r="R17" s="12"/>
      <c r="S17" s="80"/>
      <c r="T17" s="80"/>
      <c r="W17" s="73"/>
    </row>
    <row r="18" spans="2:30" s="11" customFormat="1">
      <c r="B18" s="135" t="s">
        <v>97</v>
      </c>
      <c r="E18" s="12"/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0"/>
      <c r="T18" s="80"/>
      <c r="U18" s="80"/>
      <c r="V18" s="80"/>
      <c r="W18" s="80"/>
      <c r="AB18" s="252"/>
    </row>
    <row r="19" spans="2:30" s="11" customFormat="1">
      <c r="B19" s="85" t="s">
        <v>98</v>
      </c>
      <c r="C19" s="94"/>
      <c r="E19" s="12"/>
      <c r="F19" s="12"/>
      <c r="G19" s="80"/>
      <c r="H19" s="13"/>
      <c r="I19" s="12"/>
      <c r="J19" s="12"/>
      <c r="K19" s="12"/>
      <c r="L19" s="12"/>
      <c r="M19" s="12"/>
      <c r="N19" s="84"/>
      <c r="O19" s="113"/>
      <c r="P19" s="118"/>
      <c r="Q19" s="113"/>
      <c r="R19" s="84"/>
      <c r="T19" s="9"/>
      <c r="U19" s="9"/>
      <c r="W19" s="73"/>
      <c r="AA19" s="11" t="s">
        <v>125</v>
      </c>
      <c r="AB19" s="253">
        <f>+'[9]RESUMEN LUXIMIA,SHARK1'!AB38</f>
        <v>0</v>
      </c>
    </row>
    <row r="20" spans="2:30" s="11" customFormat="1" ht="13.9">
      <c r="B20" s="87"/>
      <c r="C20" s="95"/>
      <c r="E20" s="12"/>
      <c r="F20" s="12"/>
      <c r="G20" s="80"/>
      <c r="H20" s="12"/>
      <c r="I20" s="12"/>
      <c r="J20" s="12"/>
      <c r="K20" s="12"/>
      <c r="L20" s="12"/>
      <c r="M20" s="84"/>
      <c r="N20" s="84"/>
      <c r="O20" s="118"/>
      <c r="P20" s="118"/>
      <c r="Q20" s="113"/>
      <c r="R20" s="84"/>
      <c r="S20" s="62"/>
      <c r="T20" s="292"/>
      <c r="W20" s="73"/>
      <c r="AA20" s="256" t="s">
        <v>100</v>
      </c>
      <c r="AB20" s="58">
        <f>+AB16+AB19+AB18</f>
        <v>28483.29456944</v>
      </c>
      <c r="AC20" s="62"/>
      <c r="AD20" s="62"/>
    </row>
    <row r="21" spans="2:30" s="11" customFormat="1">
      <c r="B21" s="87"/>
      <c r="C21" s="96"/>
      <c r="E21" s="12"/>
      <c r="F21" s="12"/>
      <c r="G21" s="80"/>
      <c r="H21" s="89"/>
      <c r="I21" s="12"/>
      <c r="J21" s="12"/>
      <c r="K21" s="12"/>
      <c r="L21" s="12"/>
      <c r="M21" s="84"/>
      <c r="N21" s="84"/>
      <c r="O21" s="118"/>
      <c r="P21" s="118"/>
      <c r="Q21" s="113"/>
      <c r="R21" s="84"/>
      <c r="T21" s="9"/>
      <c r="W21" s="73"/>
      <c r="Y21" s="9"/>
      <c r="AB21" s="62"/>
    </row>
    <row r="22" spans="2:30" s="11" customFormat="1">
      <c r="B22" s="87"/>
      <c r="C22" s="96"/>
      <c r="E22" s="12"/>
      <c r="F22" s="12"/>
      <c r="G22" s="80"/>
      <c r="H22" s="12"/>
      <c r="I22" s="12"/>
      <c r="J22" s="12"/>
      <c r="K22" s="12"/>
      <c r="L22" s="12"/>
      <c r="M22" s="12"/>
      <c r="N22" s="12"/>
      <c r="O22" s="113"/>
      <c r="P22" s="118"/>
      <c r="Q22" s="113"/>
      <c r="R22" s="84"/>
      <c r="W22" s="73"/>
      <c r="Y22" s="9"/>
      <c r="AB22" s="62"/>
    </row>
    <row r="23" spans="2:30" s="11" customFormat="1">
      <c r="B23" s="87"/>
      <c r="E23" s="12"/>
      <c r="F23" s="12"/>
      <c r="G23" s="13"/>
      <c r="H23" s="12"/>
      <c r="I23" s="12"/>
      <c r="J23" s="12"/>
      <c r="K23" s="12"/>
      <c r="L23" s="84"/>
      <c r="M23" s="12"/>
      <c r="N23" s="12"/>
      <c r="O23" s="118"/>
      <c r="P23" s="113"/>
      <c r="Q23" s="113"/>
      <c r="R23" s="12"/>
      <c r="W23" s="73"/>
      <c r="AB23" s="62"/>
    </row>
    <row r="24" spans="2:30" s="11" customFormat="1">
      <c r="E24" s="12"/>
      <c r="F24" s="12"/>
      <c r="G24" s="13"/>
      <c r="H24" s="12"/>
      <c r="I24" s="12"/>
      <c r="J24" s="12"/>
      <c r="K24" s="12"/>
      <c r="L24" s="84"/>
      <c r="M24" s="12"/>
      <c r="N24" s="12"/>
      <c r="O24" s="118"/>
      <c r="P24" s="113"/>
      <c r="Q24" s="113"/>
      <c r="R24" s="12"/>
      <c r="W24" s="73"/>
      <c r="Z24" s="9"/>
    </row>
    <row r="25" spans="2:30" s="11" customFormat="1">
      <c r="E25" s="12"/>
      <c r="F25" s="12"/>
      <c r="G25" s="13"/>
      <c r="H25" s="12"/>
      <c r="I25" s="12"/>
      <c r="J25" s="12"/>
      <c r="K25" s="12"/>
      <c r="L25" s="12"/>
      <c r="M25" s="12"/>
      <c r="N25" s="12"/>
      <c r="O25" s="113"/>
      <c r="P25" s="113"/>
      <c r="Q25" s="113"/>
      <c r="R25" s="12"/>
      <c r="W25" s="73"/>
      <c r="Z25" s="9"/>
    </row>
    <row r="26" spans="2:30" s="11" customFormat="1">
      <c r="E26" s="12"/>
      <c r="F26" s="12"/>
      <c r="G26" s="13"/>
      <c r="H26" s="12"/>
      <c r="I26" s="12"/>
      <c r="J26" s="12"/>
      <c r="K26" s="12"/>
      <c r="L26" s="12"/>
      <c r="M26" s="12"/>
      <c r="N26" s="12"/>
      <c r="O26" s="118"/>
      <c r="P26" s="113"/>
      <c r="Q26" s="113"/>
      <c r="R26" s="12"/>
      <c r="W26" s="73"/>
      <c r="Z26" s="9"/>
    </row>
  </sheetData>
  <mergeCells count="21">
    <mergeCell ref="A12:A13"/>
    <mergeCell ref="B12:B13"/>
    <mergeCell ref="E12:E13"/>
    <mergeCell ref="F12:F13"/>
    <mergeCell ref="G12:G13"/>
    <mergeCell ref="P12:P13"/>
    <mergeCell ref="E10:R10"/>
    <mergeCell ref="S10:V10"/>
    <mergeCell ref="X10:AB10"/>
    <mergeCell ref="L11:L13"/>
    <mergeCell ref="R11:R13"/>
    <mergeCell ref="H12:H13"/>
    <mergeCell ref="K12:K13"/>
    <mergeCell ref="M12:M13"/>
    <mergeCell ref="N12:N13"/>
    <mergeCell ref="O12:O13"/>
    <mergeCell ref="Q12:Q13"/>
    <mergeCell ref="X12:X13"/>
    <mergeCell ref="Y12:Y13"/>
    <mergeCell ref="Z12:Z13"/>
    <mergeCell ref="AB12:AB1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65C3E-36CA-4B62-9BC7-B58E610039C4}">
  <dimension ref="A9:W39"/>
  <sheetViews>
    <sheetView topLeftCell="C2" workbookViewId="0">
      <selection activeCell="R28" sqref="R28"/>
    </sheetView>
  </sheetViews>
  <sheetFormatPr defaultColWidth="11.42578125" defaultRowHeight="13.15"/>
  <cols>
    <col min="1" max="1" width="15.42578125" customWidth="1"/>
    <col min="2" max="2" width="12.42578125" bestFit="1" customWidth="1"/>
    <col min="3" max="3" width="11.42578125" bestFit="1" customWidth="1"/>
    <col min="4" max="4" width="9.42578125" bestFit="1" customWidth="1"/>
    <col min="5" max="5" width="12.42578125" bestFit="1" customWidth="1"/>
    <col min="6" max="6" width="11.7109375" bestFit="1" customWidth="1"/>
    <col min="7" max="7" width="12.42578125" bestFit="1" customWidth="1"/>
    <col min="17" max="17" width="20.85546875" bestFit="1" customWidth="1"/>
  </cols>
  <sheetData>
    <row r="9" spans="1:23" ht="15.6">
      <c r="A9" s="98" t="s">
        <v>131</v>
      </c>
      <c r="I9" s="98" t="s">
        <v>131</v>
      </c>
      <c r="Q9" s="98" t="s">
        <v>131</v>
      </c>
    </row>
    <row r="10" spans="1:23" ht="15.6">
      <c r="A10" s="98" t="str">
        <f>+'LUXIMIA '!A11</f>
        <v>02. DEL 16-31 ENERO 2025</v>
      </c>
      <c r="I10" s="98">
        <f>+'LUXIMIA '!I11</f>
        <v>0</v>
      </c>
      <c r="Q10" s="98">
        <f>+'LUXIMIA '!Q11</f>
        <v>0</v>
      </c>
    </row>
    <row r="11" spans="1:23" ht="15.6" thickBot="1">
      <c r="A11" s="99"/>
      <c r="I11" s="99"/>
      <c r="Q11" s="99"/>
    </row>
    <row r="12" spans="1:23" ht="16.149999999999999" thickBot="1">
      <c r="A12" s="100" t="s">
        <v>132</v>
      </c>
      <c r="I12" s="100" t="s">
        <v>132</v>
      </c>
      <c r="Q12" s="100" t="s">
        <v>132</v>
      </c>
    </row>
    <row r="13" spans="1:23">
      <c r="A13" s="102" t="s">
        <v>133</v>
      </c>
      <c r="I13" s="102" t="s">
        <v>134</v>
      </c>
      <c r="Q13" s="102" t="s">
        <v>135</v>
      </c>
    </row>
    <row r="14" spans="1:23">
      <c r="J14" s="296"/>
      <c r="K14" s="296"/>
    </row>
    <row r="16" spans="1:23" ht="28.9">
      <c r="B16" s="46" t="s">
        <v>136</v>
      </c>
      <c r="C16" s="46" t="s">
        <v>137</v>
      </c>
      <c r="D16" s="103">
        <v>0.03</v>
      </c>
      <c r="E16" s="37" t="s">
        <v>138</v>
      </c>
      <c r="F16" s="37" t="s">
        <v>30</v>
      </c>
      <c r="G16" s="37" t="s">
        <v>139</v>
      </c>
      <c r="J16" s="46" t="s">
        <v>136</v>
      </c>
      <c r="K16" s="46" t="s">
        <v>137</v>
      </c>
      <c r="L16" s="103">
        <v>0.03</v>
      </c>
      <c r="M16" s="37" t="s">
        <v>138</v>
      </c>
      <c r="N16" s="37" t="s">
        <v>30</v>
      </c>
      <c r="O16" s="37" t="s">
        <v>139</v>
      </c>
      <c r="R16" s="46" t="s">
        <v>136</v>
      </c>
      <c r="S16" s="46" t="s">
        <v>137</v>
      </c>
      <c r="T16" s="103">
        <v>0.03</v>
      </c>
      <c r="U16" s="37" t="s">
        <v>138</v>
      </c>
      <c r="V16" s="37" t="s">
        <v>30</v>
      </c>
      <c r="W16" s="37" t="s">
        <v>139</v>
      </c>
    </row>
    <row r="17" spans="1:23" ht="14.45">
      <c r="A17" s="111" t="s">
        <v>140</v>
      </c>
      <c r="B17" s="105">
        <f>+'LUXIMIA '!W41</f>
        <v>4182</v>
      </c>
      <c r="C17" s="105">
        <f>+'LUXIMIA '!V41</f>
        <v>1465.6</v>
      </c>
      <c r="D17" s="105">
        <f t="shared" ref="D17:D29" si="0">+(B17+C17)*$D$16</f>
        <v>169.428</v>
      </c>
      <c r="E17" s="105">
        <f>+B17+D17+C17</f>
        <v>5817.0280000000002</v>
      </c>
      <c r="F17" s="105">
        <f>+E17*16%</f>
        <v>930.72448000000009</v>
      </c>
      <c r="G17" s="105">
        <f>+E17+F17</f>
        <v>6747.7524800000001</v>
      </c>
      <c r="I17" s="111" t="s">
        <v>140</v>
      </c>
      <c r="J17" s="105">
        <v>0</v>
      </c>
      <c r="K17" s="105">
        <v>0</v>
      </c>
      <c r="L17" s="105">
        <f t="shared" ref="L17:L25" si="1">+(J17+K17)*$D$16</f>
        <v>0</v>
      </c>
      <c r="M17" s="105">
        <f>+J17+L17+K17</f>
        <v>0</v>
      </c>
      <c r="N17" s="105">
        <f>+M17*16%</f>
        <v>0</v>
      </c>
      <c r="O17" s="105">
        <f>+M17+N17</f>
        <v>0</v>
      </c>
      <c r="Q17" s="111" t="s">
        <v>140</v>
      </c>
      <c r="R17" s="105">
        <v>0</v>
      </c>
      <c r="S17" s="105">
        <v>0</v>
      </c>
      <c r="T17" s="105">
        <f t="shared" ref="T17:T25" si="2">+(R17+S17)*$D$16</f>
        <v>0</v>
      </c>
      <c r="U17" s="105">
        <f>+R17+T17+S17</f>
        <v>0</v>
      </c>
      <c r="V17" s="105">
        <f>+U17*16%</f>
        <v>0</v>
      </c>
      <c r="W17" s="105">
        <f>+U17+V17</f>
        <v>0</v>
      </c>
    </row>
    <row r="18" spans="1:23" ht="14.45">
      <c r="A18" s="111" t="s">
        <v>91</v>
      </c>
      <c r="B18" s="81">
        <f>+'LUXIMIA '!W42+'LUXIMIA '!W40</f>
        <v>9375.76</v>
      </c>
      <c r="C18" s="81">
        <f>+'LUXIMIA '!V42+'LUXIMIA '!V40</f>
        <v>3022.1304</v>
      </c>
      <c r="D18" s="105">
        <f t="shared" si="0"/>
        <v>371.936712</v>
      </c>
      <c r="E18" s="105">
        <f t="shared" ref="E18:E29" si="3">+B18+D18+C18</f>
        <v>12769.827112000001</v>
      </c>
      <c r="F18" s="105">
        <f t="shared" ref="F18:F29" si="4">+E18*16%</f>
        <v>2043.1723379200002</v>
      </c>
      <c r="G18" s="105">
        <f>+E18+F18</f>
        <v>14812.99944992</v>
      </c>
      <c r="I18" s="111" t="s">
        <v>91</v>
      </c>
      <c r="J18" s="81">
        <f>+'LUXIMIA '!AE40</f>
        <v>0</v>
      </c>
      <c r="K18" s="81"/>
      <c r="L18" s="105">
        <f t="shared" si="1"/>
        <v>0</v>
      </c>
      <c r="M18" s="105">
        <f t="shared" ref="M18:M29" si="5">+J18+L18+K18</f>
        <v>0</v>
      </c>
      <c r="N18" s="105">
        <f t="shared" ref="N18:N29" si="6">+M18*16%</f>
        <v>0</v>
      </c>
      <c r="O18" s="105">
        <f t="shared" ref="O18:O29" si="7">+M18+N18</f>
        <v>0</v>
      </c>
      <c r="Q18" s="111" t="s">
        <v>91</v>
      </c>
      <c r="R18" s="81">
        <f>+'LUXIMIA '!AM40</f>
        <v>0</v>
      </c>
      <c r="S18" s="81"/>
      <c r="T18" s="105">
        <f t="shared" si="2"/>
        <v>0</v>
      </c>
      <c r="U18" s="105">
        <f t="shared" ref="U18:U29" si="8">+R18+T18+S18</f>
        <v>0</v>
      </c>
      <c r="V18" s="105">
        <f t="shared" ref="V18:V29" si="9">+U18*16%</f>
        <v>0</v>
      </c>
      <c r="W18" s="105">
        <f t="shared" ref="W18:W29" si="10">+U18+V18</f>
        <v>0</v>
      </c>
    </row>
    <row r="19" spans="1:23" ht="14.45">
      <c r="A19" s="111" t="s">
        <v>34</v>
      </c>
      <c r="B19" s="105">
        <v>0</v>
      </c>
      <c r="C19" s="105">
        <v>0</v>
      </c>
      <c r="D19" s="105">
        <f t="shared" si="0"/>
        <v>0</v>
      </c>
      <c r="E19" s="105">
        <f t="shared" si="3"/>
        <v>0</v>
      </c>
      <c r="F19" s="105">
        <f t="shared" si="4"/>
        <v>0</v>
      </c>
      <c r="G19" s="105">
        <f t="shared" ref="G19:G29" si="11">+E19+F19</f>
        <v>0</v>
      </c>
      <c r="I19" s="111" t="s">
        <v>34</v>
      </c>
      <c r="J19" s="105">
        <v>0</v>
      </c>
      <c r="K19" s="105">
        <v>0</v>
      </c>
      <c r="L19" s="105">
        <f t="shared" si="1"/>
        <v>0</v>
      </c>
      <c r="M19" s="105">
        <f t="shared" si="5"/>
        <v>0</v>
      </c>
      <c r="N19" s="105">
        <f t="shared" si="6"/>
        <v>0</v>
      </c>
      <c r="O19" s="105">
        <f t="shared" si="7"/>
        <v>0</v>
      </c>
      <c r="Q19" s="111" t="s">
        <v>34</v>
      </c>
      <c r="R19" s="105">
        <v>0</v>
      </c>
      <c r="S19" s="105">
        <v>0</v>
      </c>
      <c r="T19" s="105">
        <f t="shared" si="2"/>
        <v>0</v>
      </c>
      <c r="U19" s="105">
        <f t="shared" si="8"/>
        <v>0</v>
      </c>
      <c r="V19" s="105">
        <f t="shared" si="9"/>
        <v>0</v>
      </c>
      <c r="W19" s="105">
        <f t="shared" si="10"/>
        <v>0</v>
      </c>
    </row>
    <row r="20" spans="1:23" ht="14.45">
      <c r="A20" s="111" t="s">
        <v>141</v>
      </c>
      <c r="B20" s="105">
        <v>0</v>
      </c>
      <c r="C20" s="105">
        <v>0</v>
      </c>
      <c r="D20" s="298">
        <f t="shared" si="0"/>
        <v>0</v>
      </c>
      <c r="E20" s="298">
        <f t="shared" si="3"/>
        <v>0</v>
      </c>
      <c r="F20" s="105">
        <f t="shared" si="4"/>
        <v>0</v>
      </c>
      <c r="G20" s="105">
        <f t="shared" si="11"/>
        <v>0</v>
      </c>
      <c r="I20" s="111" t="s">
        <v>141</v>
      </c>
      <c r="J20" s="105">
        <v>0</v>
      </c>
      <c r="K20" s="105">
        <v>0</v>
      </c>
      <c r="L20" s="105">
        <f t="shared" si="1"/>
        <v>0</v>
      </c>
      <c r="M20" s="105">
        <f t="shared" si="5"/>
        <v>0</v>
      </c>
      <c r="N20" s="105">
        <f t="shared" si="6"/>
        <v>0</v>
      </c>
      <c r="O20" s="105">
        <f t="shared" si="7"/>
        <v>0</v>
      </c>
      <c r="Q20" s="111" t="s">
        <v>141</v>
      </c>
      <c r="R20" s="105">
        <v>0</v>
      </c>
      <c r="S20" s="105">
        <v>0</v>
      </c>
      <c r="T20" s="105">
        <f t="shared" si="2"/>
        <v>0</v>
      </c>
      <c r="U20" s="105">
        <f t="shared" si="8"/>
        <v>0</v>
      </c>
      <c r="V20" s="105">
        <f t="shared" si="9"/>
        <v>0</v>
      </c>
      <c r="W20" s="105">
        <f t="shared" si="10"/>
        <v>0</v>
      </c>
    </row>
    <row r="21" spans="1:23" ht="14.45">
      <c r="A21" s="111" t="s">
        <v>45</v>
      </c>
      <c r="B21" s="105">
        <v>0</v>
      </c>
      <c r="C21" s="105">
        <v>0</v>
      </c>
      <c r="D21" s="298">
        <f t="shared" si="0"/>
        <v>0</v>
      </c>
      <c r="E21" s="298">
        <f t="shared" si="3"/>
        <v>0</v>
      </c>
      <c r="F21" s="105">
        <f t="shared" si="4"/>
        <v>0</v>
      </c>
      <c r="G21" s="105">
        <f t="shared" si="11"/>
        <v>0</v>
      </c>
      <c r="I21" s="111" t="s">
        <v>45</v>
      </c>
      <c r="J21" s="105">
        <v>0</v>
      </c>
      <c r="K21" s="105">
        <v>0</v>
      </c>
      <c r="L21" s="105">
        <f t="shared" si="1"/>
        <v>0</v>
      </c>
      <c r="M21" s="105">
        <f t="shared" si="5"/>
        <v>0</v>
      </c>
      <c r="N21" s="105">
        <f t="shared" si="6"/>
        <v>0</v>
      </c>
      <c r="O21" s="105">
        <f t="shared" si="7"/>
        <v>0</v>
      </c>
      <c r="Q21" s="111" t="s">
        <v>45</v>
      </c>
      <c r="R21" s="105">
        <v>0</v>
      </c>
      <c r="S21" s="105">
        <v>0</v>
      </c>
      <c r="T21" s="105">
        <f t="shared" si="2"/>
        <v>0</v>
      </c>
      <c r="U21" s="105">
        <f t="shared" si="8"/>
        <v>0</v>
      </c>
      <c r="V21" s="105">
        <f t="shared" si="9"/>
        <v>0</v>
      </c>
      <c r="W21" s="105">
        <f t="shared" si="10"/>
        <v>0</v>
      </c>
    </row>
    <row r="22" spans="1:23" ht="14.45">
      <c r="A22" s="111" t="s">
        <v>70</v>
      </c>
      <c r="B22" s="105">
        <v>0</v>
      </c>
      <c r="C22" s="105">
        <v>0</v>
      </c>
      <c r="D22" s="105">
        <f t="shared" si="0"/>
        <v>0</v>
      </c>
      <c r="E22" s="105">
        <f t="shared" si="3"/>
        <v>0</v>
      </c>
      <c r="F22" s="105">
        <f t="shared" si="4"/>
        <v>0</v>
      </c>
      <c r="G22" s="105">
        <f t="shared" si="11"/>
        <v>0</v>
      </c>
      <c r="I22" s="111" t="s">
        <v>70</v>
      </c>
      <c r="J22" s="105">
        <v>0</v>
      </c>
      <c r="K22" s="105">
        <v>0</v>
      </c>
      <c r="L22" s="105">
        <f t="shared" si="1"/>
        <v>0</v>
      </c>
      <c r="M22" s="105">
        <f t="shared" si="5"/>
        <v>0</v>
      </c>
      <c r="N22" s="105">
        <f t="shared" si="6"/>
        <v>0</v>
      </c>
      <c r="O22" s="105">
        <f t="shared" si="7"/>
        <v>0</v>
      </c>
      <c r="Q22" s="111" t="s">
        <v>70</v>
      </c>
      <c r="R22" s="105">
        <v>0</v>
      </c>
      <c r="S22" s="105">
        <v>0</v>
      </c>
      <c r="T22" s="105">
        <f t="shared" si="2"/>
        <v>0</v>
      </c>
      <c r="U22" s="105">
        <f t="shared" si="8"/>
        <v>0</v>
      </c>
      <c r="V22" s="105">
        <f t="shared" si="9"/>
        <v>0</v>
      </c>
      <c r="W22" s="105">
        <f t="shared" si="10"/>
        <v>0</v>
      </c>
    </row>
    <row r="23" spans="1:23" ht="14.45">
      <c r="A23" s="111" t="s">
        <v>48</v>
      </c>
      <c r="B23" s="105">
        <v>0</v>
      </c>
      <c r="C23" s="105">
        <v>0</v>
      </c>
      <c r="D23" s="105">
        <f t="shared" si="0"/>
        <v>0</v>
      </c>
      <c r="E23" s="105">
        <f t="shared" si="3"/>
        <v>0</v>
      </c>
      <c r="F23" s="105">
        <f t="shared" si="4"/>
        <v>0</v>
      </c>
      <c r="G23" s="105">
        <f t="shared" si="11"/>
        <v>0</v>
      </c>
      <c r="I23" s="111" t="s">
        <v>48</v>
      </c>
      <c r="J23" s="105">
        <v>0</v>
      </c>
      <c r="K23" s="105">
        <v>0</v>
      </c>
      <c r="L23" s="105">
        <f t="shared" si="1"/>
        <v>0</v>
      </c>
      <c r="M23" s="105">
        <f t="shared" si="5"/>
        <v>0</v>
      </c>
      <c r="N23" s="105">
        <f t="shared" si="6"/>
        <v>0</v>
      </c>
      <c r="O23" s="105">
        <f t="shared" si="7"/>
        <v>0</v>
      </c>
      <c r="Q23" s="111" t="s">
        <v>48</v>
      </c>
      <c r="R23" s="105">
        <v>0</v>
      </c>
      <c r="S23" s="105">
        <v>0</v>
      </c>
      <c r="T23" s="105">
        <f t="shared" si="2"/>
        <v>0</v>
      </c>
      <c r="U23" s="105">
        <f t="shared" si="8"/>
        <v>0</v>
      </c>
      <c r="V23" s="105">
        <f t="shared" si="9"/>
        <v>0</v>
      </c>
      <c r="W23" s="105">
        <f t="shared" si="10"/>
        <v>0</v>
      </c>
    </row>
    <row r="24" spans="1:23" ht="14.45">
      <c r="A24" s="111" t="s">
        <v>42</v>
      </c>
      <c r="B24" s="105">
        <f>+'LUXIMIA '!W39</f>
        <v>5974.4</v>
      </c>
      <c r="C24" s="105">
        <f>+'LUXIMIA '!V39</f>
        <v>1973.8760000000002</v>
      </c>
      <c r="D24" s="105">
        <f t="shared" si="0"/>
        <v>238.44827999999998</v>
      </c>
      <c r="E24" s="105">
        <f>+B24+D24+C24</f>
        <v>8186.7242799999995</v>
      </c>
      <c r="F24" s="105">
        <f t="shared" si="4"/>
        <v>1309.8758848</v>
      </c>
      <c r="G24" s="105">
        <f t="shared" si="11"/>
        <v>9496.6001648000001</v>
      </c>
      <c r="I24" s="111" t="s">
        <v>42</v>
      </c>
      <c r="J24" s="105">
        <f>+'LUXIMIA '!AG39</f>
        <v>0</v>
      </c>
      <c r="K24" s="105">
        <v>0</v>
      </c>
      <c r="L24" s="105">
        <f t="shared" si="1"/>
        <v>0</v>
      </c>
      <c r="M24" s="105">
        <f t="shared" si="5"/>
        <v>0</v>
      </c>
      <c r="N24" s="105">
        <f t="shared" si="6"/>
        <v>0</v>
      </c>
      <c r="O24" s="105">
        <f t="shared" si="7"/>
        <v>0</v>
      </c>
      <c r="Q24" s="111" t="s">
        <v>42</v>
      </c>
      <c r="R24" s="105">
        <f>+'LUXIMIA '!AO39</f>
        <v>0</v>
      </c>
      <c r="S24" s="298">
        <v>0</v>
      </c>
      <c r="T24" s="298">
        <f t="shared" si="2"/>
        <v>0</v>
      </c>
      <c r="U24" s="105">
        <f t="shared" si="8"/>
        <v>0</v>
      </c>
      <c r="V24" s="105">
        <f t="shared" si="9"/>
        <v>0</v>
      </c>
      <c r="W24" s="105">
        <f t="shared" si="10"/>
        <v>0</v>
      </c>
    </row>
    <row r="25" spans="1:23" ht="14.45">
      <c r="A25" s="111" t="s">
        <v>142</v>
      </c>
      <c r="B25" s="105">
        <f>+'LUXIMIA '!W38</f>
        <v>7965.76</v>
      </c>
      <c r="C25" s="105">
        <f>+'LUXIMIA '!V38</f>
        <v>2562.6404000000002</v>
      </c>
      <c r="D25" s="105">
        <f t="shared" si="0"/>
        <v>315.852012</v>
      </c>
      <c r="E25" s="105">
        <f>+B25+D25+C25</f>
        <v>10844.252412</v>
      </c>
      <c r="F25" s="105">
        <f t="shared" si="4"/>
        <v>1735.08038592</v>
      </c>
      <c r="G25" s="105">
        <f t="shared" si="11"/>
        <v>12579.33279792</v>
      </c>
      <c r="I25" s="111" t="s">
        <v>142</v>
      </c>
      <c r="J25" s="105">
        <f>+'LUXIMIA '!AG38</f>
        <v>0</v>
      </c>
      <c r="K25" s="105">
        <v>0</v>
      </c>
      <c r="L25" s="105">
        <f t="shared" si="1"/>
        <v>0</v>
      </c>
      <c r="M25" s="105">
        <f t="shared" si="5"/>
        <v>0</v>
      </c>
      <c r="N25" s="105">
        <f t="shared" si="6"/>
        <v>0</v>
      </c>
      <c r="O25" s="105">
        <f t="shared" si="7"/>
        <v>0</v>
      </c>
      <c r="Q25" s="111" t="s">
        <v>142</v>
      </c>
      <c r="R25" s="105">
        <f>+'LUXIMIA '!AO38</f>
        <v>0</v>
      </c>
      <c r="S25" s="105">
        <v>0</v>
      </c>
      <c r="T25" s="105">
        <f t="shared" si="2"/>
        <v>0</v>
      </c>
      <c r="U25" s="105">
        <f t="shared" si="8"/>
        <v>0</v>
      </c>
      <c r="V25" s="105">
        <f t="shared" si="9"/>
        <v>0</v>
      </c>
      <c r="W25" s="105">
        <f t="shared" si="10"/>
        <v>0</v>
      </c>
    </row>
    <row r="26" spans="1:23" ht="14.45">
      <c r="A26" s="111" t="s">
        <v>143</v>
      </c>
      <c r="B26" s="105">
        <v>0</v>
      </c>
      <c r="C26" s="105">
        <v>0</v>
      </c>
      <c r="D26" s="105">
        <f>+(B26+C26)*$D$16</f>
        <v>0</v>
      </c>
      <c r="E26" s="105">
        <f>+B26+D26+C26</f>
        <v>0</v>
      </c>
      <c r="F26" s="105">
        <f t="shared" si="4"/>
        <v>0</v>
      </c>
      <c r="G26" s="105">
        <f t="shared" si="11"/>
        <v>0</v>
      </c>
      <c r="I26" s="111" t="s">
        <v>67</v>
      </c>
      <c r="J26" s="105">
        <v>0</v>
      </c>
      <c r="K26" s="105">
        <v>0</v>
      </c>
      <c r="L26" s="105">
        <f>+(J26+K26)*$D$16</f>
        <v>0</v>
      </c>
      <c r="M26" s="105">
        <f t="shared" si="5"/>
        <v>0</v>
      </c>
      <c r="N26" s="105">
        <f t="shared" si="6"/>
        <v>0</v>
      </c>
      <c r="O26" s="105">
        <f t="shared" si="7"/>
        <v>0</v>
      </c>
      <c r="Q26" s="111" t="s">
        <v>67</v>
      </c>
      <c r="R26" s="105">
        <v>0</v>
      </c>
      <c r="S26" s="105">
        <v>0</v>
      </c>
      <c r="T26" s="105">
        <f>+(R26+S26)*$D$16</f>
        <v>0</v>
      </c>
      <c r="U26" s="105">
        <f t="shared" si="8"/>
        <v>0</v>
      </c>
      <c r="V26" s="105">
        <f t="shared" si="9"/>
        <v>0</v>
      </c>
      <c r="W26" s="105">
        <f t="shared" si="10"/>
        <v>0</v>
      </c>
    </row>
    <row r="27" spans="1:23" ht="14.45">
      <c r="A27" s="111" t="s">
        <v>60</v>
      </c>
      <c r="B27" s="105">
        <v>0</v>
      </c>
      <c r="C27" s="105">
        <v>0</v>
      </c>
      <c r="D27" s="105">
        <f>+(B27+C27)*$D$16</f>
        <v>0</v>
      </c>
      <c r="E27" s="105">
        <f t="shared" si="3"/>
        <v>0</v>
      </c>
      <c r="F27" s="105">
        <f t="shared" si="4"/>
        <v>0</v>
      </c>
      <c r="G27" s="105">
        <f t="shared" si="11"/>
        <v>0</v>
      </c>
      <c r="I27" s="111" t="s">
        <v>60</v>
      </c>
      <c r="J27" s="105">
        <v>0</v>
      </c>
      <c r="K27" s="105">
        <v>0</v>
      </c>
      <c r="L27" s="105">
        <f>+(J27+K27)*$D$16</f>
        <v>0</v>
      </c>
      <c r="M27" s="105">
        <f t="shared" si="5"/>
        <v>0</v>
      </c>
      <c r="N27" s="105">
        <f t="shared" si="6"/>
        <v>0</v>
      </c>
      <c r="O27" s="105">
        <f t="shared" si="7"/>
        <v>0</v>
      </c>
      <c r="Q27" s="111" t="s">
        <v>60</v>
      </c>
      <c r="R27" s="105">
        <v>0</v>
      </c>
      <c r="S27" s="105">
        <v>0</v>
      </c>
      <c r="T27" s="105">
        <f>+(R27+S27)*$D$16</f>
        <v>0</v>
      </c>
      <c r="U27" s="105">
        <f t="shared" si="8"/>
        <v>0</v>
      </c>
      <c r="V27" s="105">
        <f t="shared" si="9"/>
        <v>0</v>
      </c>
      <c r="W27" s="105">
        <f t="shared" si="10"/>
        <v>0</v>
      </c>
    </row>
    <row r="28" spans="1:23">
      <c r="A28" s="101" t="s">
        <v>144</v>
      </c>
      <c r="B28" s="122"/>
      <c r="C28" s="116">
        <v>0</v>
      </c>
      <c r="D28" s="105">
        <f t="shared" si="0"/>
        <v>0</v>
      </c>
      <c r="E28" s="105">
        <f t="shared" si="3"/>
        <v>0</v>
      </c>
      <c r="F28" s="105">
        <f t="shared" si="4"/>
        <v>0</v>
      </c>
      <c r="G28" s="105">
        <f t="shared" si="11"/>
        <v>0</v>
      </c>
      <c r="I28" s="101" t="s">
        <v>144</v>
      </c>
      <c r="J28" s="82">
        <f>+SHARK!H21</f>
        <v>7965.76</v>
      </c>
      <c r="K28" s="116">
        <f>+SHARK!X21</f>
        <v>2562.6404000000002</v>
      </c>
      <c r="L28" s="105">
        <f t="shared" ref="L28:L29" si="12">+(J28+K28)*$D$16</f>
        <v>315.852012</v>
      </c>
      <c r="M28" s="105">
        <f t="shared" si="5"/>
        <v>10844.252412</v>
      </c>
      <c r="N28" s="105">
        <f t="shared" si="6"/>
        <v>1735.08038592</v>
      </c>
      <c r="O28" s="105">
        <f t="shared" si="7"/>
        <v>12579.33279792</v>
      </c>
      <c r="Q28" s="101" t="s">
        <v>128</v>
      </c>
      <c r="R28" s="82">
        <f>+PETREOS!V15</f>
        <v>2489.3000000000002</v>
      </c>
      <c r="S28" s="116">
        <f>+PETREOS!U15</f>
        <v>769.93200000000002</v>
      </c>
      <c r="T28" s="105">
        <f t="shared" ref="T28:T29" si="13">+(R28+S28)*$D$16</f>
        <v>97.776960000000003</v>
      </c>
      <c r="U28" s="105">
        <f t="shared" si="8"/>
        <v>3357.0089600000001</v>
      </c>
      <c r="V28" s="105">
        <f t="shared" si="9"/>
        <v>537.12143360000005</v>
      </c>
      <c r="W28" s="105">
        <f t="shared" si="10"/>
        <v>3894.1303936000004</v>
      </c>
    </row>
    <row r="29" spans="1:23" ht="13.9" thickBot="1">
      <c r="A29" s="101"/>
      <c r="B29" s="106"/>
      <c r="C29" s="107">
        <v>0</v>
      </c>
      <c r="D29" s="107">
        <f t="shared" si="0"/>
        <v>0</v>
      </c>
      <c r="E29" s="105">
        <f t="shared" si="3"/>
        <v>0</v>
      </c>
      <c r="F29" s="105">
        <f t="shared" si="4"/>
        <v>0</v>
      </c>
      <c r="G29" s="105">
        <f t="shared" si="11"/>
        <v>0</v>
      </c>
      <c r="I29" s="101"/>
      <c r="J29" s="106"/>
      <c r="K29" s="107">
        <v>0</v>
      </c>
      <c r="L29" s="107">
        <f t="shared" si="12"/>
        <v>0</v>
      </c>
      <c r="M29" s="105">
        <f t="shared" si="5"/>
        <v>0</v>
      </c>
      <c r="N29" s="105">
        <f t="shared" si="6"/>
        <v>0</v>
      </c>
      <c r="O29" s="105">
        <f t="shared" si="7"/>
        <v>0</v>
      </c>
      <c r="Q29" s="101"/>
      <c r="R29" s="106"/>
      <c r="S29" s="107">
        <v>0</v>
      </c>
      <c r="T29" s="107">
        <f t="shared" si="13"/>
        <v>0</v>
      </c>
      <c r="U29" s="105">
        <f t="shared" si="8"/>
        <v>0</v>
      </c>
      <c r="V29" s="105">
        <f t="shared" si="9"/>
        <v>0</v>
      </c>
      <c r="W29" s="105">
        <f t="shared" si="10"/>
        <v>0</v>
      </c>
    </row>
    <row r="30" spans="1:23" ht="13.9" thickTop="1">
      <c r="B30" s="104">
        <f>SUM(B17:B29)</f>
        <v>27497.919999999998</v>
      </c>
      <c r="C30" s="104">
        <f>SUM(C17:C29)</f>
        <v>9024.2468000000008</v>
      </c>
      <c r="D30" s="148">
        <f>SUM(D17:D29)</f>
        <v>1095.665004</v>
      </c>
      <c r="E30" s="104">
        <f t="shared" ref="E30:F30" si="14">SUM(E17:E29)</f>
        <v>37617.831804000001</v>
      </c>
      <c r="F30" s="104">
        <f t="shared" si="14"/>
        <v>6018.8530886400004</v>
      </c>
      <c r="G30" s="109">
        <f>SUM(G17:G29)+G34</f>
        <v>43636.684892639998</v>
      </c>
      <c r="J30" s="104">
        <f>SUM(J17:J29)</f>
        <v>7965.76</v>
      </c>
      <c r="K30" s="104">
        <f>SUM(K17:K29)</f>
        <v>2562.6404000000002</v>
      </c>
      <c r="L30" s="148">
        <f>SUM(L17:L29)</f>
        <v>315.852012</v>
      </c>
      <c r="M30" s="104">
        <f t="shared" ref="M30:N30" si="15">SUM(M17:M29)</f>
        <v>10844.252412</v>
      </c>
      <c r="N30" s="104">
        <f t="shared" si="15"/>
        <v>1735.08038592</v>
      </c>
      <c r="O30" s="109">
        <f>SUM(O17:O29)+O34</f>
        <v>12579.33279792</v>
      </c>
      <c r="R30" s="104">
        <f>SUM(R17:R29)</f>
        <v>2489.3000000000002</v>
      </c>
      <c r="S30" s="104">
        <f>SUM(S17:S29)</f>
        <v>769.93200000000002</v>
      </c>
      <c r="T30" s="148">
        <f>SUM(T17:T29)</f>
        <v>97.776960000000003</v>
      </c>
      <c r="U30" s="104">
        <f t="shared" ref="U30:V30" si="16">SUM(U17:U29)</f>
        <v>3357.0089600000001</v>
      </c>
      <c r="V30" s="104">
        <f t="shared" si="16"/>
        <v>537.12143360000005</v>
      </c>
      <c r="W30" s="109">
        <f>SUM(W17:W29)+W34</f>
        <v>3894.1303936000004</v>
      </c>
    </row>
    <row r="31" spans="1:23">
      <c r="B31" s="81"/>
      <c r="C31" s="146"/>
      <c r="D31" s="81"/>
      <c r="J31" s="81"/>
      <c r="K31" s="146"/>
      <c r="L31" s="81"/>
      <c r="R31" s="81"/>
      <c r="S31" s="146"/>
      <c r="T31" s="81"/>
    </row>
    <row r="32" spans="1:23">
      <c r="B32" s="81"/>
      <c r="C32" s="82"/>
      <c r="J32" s="81"/>
      <c r="K32" s="82"/>
      <c r="R32" s="81"/>
      <c r="S32" s="82"/>
    </row>
    <row r="33" spans="2:23">
      <c r="B33" s="82"/>
      <c r="C33" s="82"/>
      <c r="J33" s="82"/>
      <c r="K33" s="82"/>
      <c r="R33" s="82"/>
      <c r="S33" s="82"/>
    </row>
    <row r="34" spans="2:23" ht="13.9" thickBot="1">
      <c r="C34" s="335"/>
      <c r="D34" s="335"/>
      <c r="E34" s="335"/>
      <c r="F34" s="335"/>
      <c r="G34" s="81"/>
      <c r="K34" s="335"/>
      <c r="L34" s="335"/>
      <c r="M34" s="335"/>
      <c r="N34" s="335"/>
      <c r="O34" s="81"/>
      <c r="S34" s="335"/>
      <c r="T34" s="335"/>
      <c r="U34" s="335"/>
      <c r="V34" s="335"/>
      <c r="W34" s="81"/>
    </row>
    <row r="35" spans="2:23" ht="15" thickBot="1">
      <c r="F35" s="55" t="s">
        <v>100</v>
      </c>
      <c r="G35" s="56">
        <f>G30+G43</f>
        <v>43636.684892639998</v>
      </c>
      <c r="N35" s="55" t="s">
        <v>100</v>
      </c>
      <c r="O35" s="56">
        <f>O30+O43</f>
        <v>12579.33279792</v>
      </c>
      <c r="V35" s="55" t="s">
        <v>100</v>
      </c>
      <c r="W35" s="56">
        <f>W30+W43</f>
        <v>3894.1303936000004</v>
      </c>
    </row>
    <row r="37" spans="2:23">
      <c r="J37" s="82"/>
    </row>
    <row r="38" spans="2:23">
      <c r="G38" s="82"/>
    </row>
    <row r="39" spans="2:23">
      <c r="N39">
        <v>10647.326712</v>
      </c>
      <c r="O39" s="82">
        <f>O35/1.16</f>
        <v>10844.252412000002</v>
      </c>
    </row>
  </sheetData>
  <mergeCells count="3">
    <mergeCell ref="C34:F34"/>
    <mergeCell ref="K34:N34"/>
    <mergeCell ref="S34:V34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CD494-14E6-4E6C-8CA2-4F2AB5E7978E}">
  <dimension ref="A9:AH51"/>
  <sheetViews>
    <sheetView topLeftCell="E1" zoomScale="70" zoomScaleNormal="70" workbookViewId="0">
      <selection activeCell="AB17" sqref="AB17"/>
    </sheetView>
  </sheetViews>
  <sheetFormatPr defaultColWidth="11.42578125" defaultRowHeight="13.15"/>
  <cols>
    <col min="1" max="1" width="19.5703125" customWidth="1"/>
    <col min="2" max="2" width="11" customWidth="1"/>
    <col min="3" max="3" width="15.7109375" customWidth="1"/>
    <col min="4" max="4" width="12.7109375" bestFit="1" customWidth="1"/>
    <col min="5" max="5" width="13.28515625" customWidth="1"/>
    <col min="6" max="6" width="12.85546875" bestFit="1" customWidth="1"/>
    <col min="7" max="7" width="12.85546875" customWidth="1"/>
    <col min="8" max="9" width="12.5703125" customWidth="1"/>
    <col min="10" max="10" width="7.7109375" customWidth="1"/>
    <col min="11" max="11" width="17" customWidth="1"/>
    <col min="12" max="12" width="0.85546875" style="108" customWidth="1"/>
    <col min="14" max="14" width="16.5703125" customWidth="1"/>
    <col min="15" max="15" width="16.28515625" bestFit="1" customWidth="1"/>
    <col min="16" max="16" width="13.7109375" bestFit="1" customWidth="1"/>
    <col min="18" max="18" width="12.85546875" bestFit="1" customWidth="1"/>
    <col min="19" max="19" width="14.42578125" customWidth="1"/>
    <col min="20" max="20" width="13.7109375" customWidth="1"/>
    <col min="21" max="21" width="16.7109375" customWidth="1"/>
    <col min="22" max="22" width="12.28515625" bestFit="1" customWidth="1"/>
    <col min="25" max="25" width="1.28515625" style="156" customWidth="1"/>
    <col min="26" max="26" width="5" customWidth="1"/>
    <col min="27" max="27" width="13.28515625" customWidth="1"/>
    <col min="28" max="32" width="13" customWidth="1"/>
    <col min="33" max="33" width="19.42578125" customWidth="1"/>
    <col min="34" max="34" width="14.140625" bestFit="1" customWidth="1"/>
  </cols>
  <sheetData>
    <row r="9" spans="1:33" ht="15.6">
      <c r="A9" s="98" t="s">
        <v>131</v>
      </c>
      <c r="N9" s="98" t="s">
        <v>131</v>
      </c>
      <c r="AA9" s="98" t="s">
        <v>131</v>
      </c>
    </row>
    <row r="10" spans="1:33" ht="15.6">
      <c r="A10" s="98" t="str">
        <f>+'LUXIMIA '!A11</f>
        <v>02. DEL 16-31 ENERO 2025</v>
      </c>
      <c r="N10" s="98" t="str">
        <f>+SHARK!A10</f>
        <v>02. DEL 16-31 ENERO 2025</v>
      </c>
      <c r="AA10" s="98">
        <f>+[9]SHARK!P10</f>
        <v>0</v>
      </c>
    </row>
    <row r="11" spans="1:33" ht="15.6" thickBot="1">
      <c r="A11" s="99"/>
      <c r="N11" s="99"/>
      <c r="AA11" s="99"/>
    </row>
    <row r="12" spans="1:33" ht="16.149999999999999" thickBot="1">
      <c r="A12" s="100" t="s">
        <v>132</v>
      </c>
      <c r="N12" s="100" t="s">
        <v>132</v>
      </c>
      <c r="Q12" s="296"/>
      <c r="R12" s="296"/>
      <c r="S12" s="296"/>
      <c r="AA12" s="100" t="s">
        <v>132</v>
      </c>
    </row>
    <row r="13" spans="1:33">
      <c r="A13" s="102" t="s">
        <v>133</v>
      </c>
      <c r="N13" s="102" t="s">
        <v>134</v>
      </c>
      <c r="AA13" s="102" t="s">
        <v>145</v>
      </c>
    </row>
    <row r="16" spans="1:33" ht="18.75" customHeight="1">
      <c r="B16" s="46" t="s">
        <v>136</v>
      </c>
      <c r="C16" s="46" t="s">
        <v>137</v>
      </c>
      <c r="D16" s="103">
        <v>0.03</v>
      </c>
      <c r="E16" s="37" t="s">
        <v>138</v>
      </c>
      <c r="F16" s="37" t="s">
        <v>30</v>
      </c>
      <c r="G16" s="37" t="s">
        <v>139</v>
      </c>
      <c r="H16" s="43"/>
      <c r="I16" s="43"/>
      <c r="J16" s="43"/>
      <c r="O16" s="46" t="s">
        <v>136</v>
      </c>
      <c r="P16" s="46" t="s">
        <v>137</v>
      </c>
      <c r="Q16" s="103">
        <v>0.03</v>
      </c>
      <c r="R16" s="37" t="s">
        <v>138</v>
      </c>
      <c r="S16" s="37" t="s">
        <v>30</v>
      </c>
      <c r="T16" s="37" t="s">
        <v>139</v>
      </c>
      <c r="AB16" s="46" t="s">
        <v>136</v>
      </c>
      <c r="AC16" s="46" t="s">
        <v>137</v>
      </c>
      <c r="AD16" s="103">
        <v>0.03</v>
      </c>
      <c r="AE16" s="37" t="s">
        <v>138</v>
      </c>
      <c r="AF16" s="37" t="s">
        <v>30</v>
      </c>
      <c r="AG16" s="37" t="s">
        <v>139</v>
      </c>
    </row>
    <row r="17" spans="1:34" ht="14.45">
      <c r="A17" s="111" t="s">
        <v>140</v>
      </c>
      <c r="B17" s="105">
        <f xml:space="preserve"> +'LUXIMIA '!H36</f>
        <v>19914.400000000001</v>
      </c>
      <c r="C17" s="105">
        <f>+'LUXIMIA '!V36</f>
        <v>5841.576</v>
      </c>
      <c r="D17" s="105">
        <f t="shared" ref="D17:D29" si="0">+(B17+C17)*$D$16</f>
        <v>772.67928000000006</v>
      </c>
      <c r="E17" s="105">
        <f>+B17+D17+C17</f>
        <v>26528.655280000003</v>
      </c>
      <c r="F17" s="105">
        <f>+E17*16%</f>
        <v>4244.5848448000006</v>
      </c>
      <c r="G17" s="105">
        <f>+E17+F17</f>
        <v>30773.240124800002</v>
      </c>
      <c r="H17" s="105"/>
      <c r="I17" s="105"/>
      <c r="J17" s="105"/>
      <c r="N17" s="111" t="s">
        <v>140</v>
      </c>
      <c r="O17" s="81">
        <f>+SHARK!H15</f>
        <v>7965.76</v>
      </c>
      <c r="P17" s="81">
        <f>+SHARK!X15</f>
        <v>2562.6404000000002</v>
      </c>
      <c r="Q17" s="105">
        <f t="shared" ref="Q17:Q24" si="1">+(O17+P17)*$D$16</f>
        <v>315.852012</v>
      </c>
      <c r="R17" s="105">
        <f>+O17+Q17+P17</f>
        <v>10844.252412</v>
      </c>
      <c r="S17" s="105">
        <f>+R17*16%</f>
        <v>1735.08038592</v>
      </c>
      <c r="T17" s="105">
        <f>+R17+S17</f>
        <v>12579.33279792</v>
      </c>
      <c r="AA17" s="111" t="s">
        <v>128</v>
      </c>
      <c r="AB17" s="81">
        <f>+PETREOS!V14</f>
        <v>15931.52</v>
      </c>
      <c r="AC17" s="81">
        <f>+PETREOS!U14</f>
        <v>4648.6307999999999</v>
      </c>
      <c r="AD17" s="105">
        <f t="shared" ref="AD17" si="2">+(AB17+AC17)*$D$16</f>
        <v>617.40452399999992</v>
      </c>
      <c r="AE17" s="105">
        <f>+AB17+AD17+AC17</f>
        <v>21197.555324000001</v>
      </c>
      <c r="AF17" s="105">
        <f>+AE17*16%</f>
        <v>3391.6088518400002</v>
      </c>
      <c r="AG17" s="105">
        <f>+AE17+AF17</f>
        <v>24589.16417584</v>
      </c>
    </row>
    <row r="18" spans="1:34" ht="15" thickBot="1">
      <c r="A18" s="111" t="s">
        <v>91</v>
      </c>
      <c r="B18" s="81">
        <v>0</v>
      </c>
      <c r="C18" s="81">
        <v>0</v>
      </c>
      <c r="D18" s="105">
        <f t="shared" si="0"/>
        <v>0</v>
      </c>
      <c r="E18" s="105">
        <f t="shared" ref="E18:E29" si="3">+B18+D18+C18</f>
        <v>0</v>
      </c>
      <c r="F18" s="105">
        <f t="shared" ref="F18:F29" si="4">+E18*16%</f>
        <v>0</v>
      </c>
      <c r="G18" s="105">
        <f t="shared" ref="G18:G29" si="5">+E18+F18</f>
        <v>0</v>
      </c>
      <c r="H18" s="105"/>
      <c r="I18" s="105"/>
      <c r="J18" s="105"/>
      <c r="N18" s="111" t="s">
        <v>146</v>
      </c>
      <c r="O18" s="81">
        <f>+SHARK!H17</f>
        <v>11948.64</v>
      </c>
      <c r="P18" s="81">
        <f>+SHARK!X17</f>
        <v>3655.6556</v>
      </c>
      <c r="Q18" s="105">
        <f t="shared" si="1"/>
        <v>468.12886799999995</v>
      </c>
      <c r="R18" s="105">
        <f t="shared" ref="R18:R23" si="6">+O18+Q18+P18</f>
        <v>16072.424467999999</v>
      </c>
      <c r="S18" s="105">
        <f>+R18*16%</f>
        <v>2571.58791488</v>
      </c>
      <c r="T18" s="105">
        <f>+R18+S18</f>
        <v>18644.012382879999</v>
      </c>
      <c r="AA18" s="111"/>
      <c r="AB18" s="136"/>
      <c r="AC18" s="106"/>
      <c r="AD18" s="107"/>
      <c r="AE18" s="107"/>
      <c r="AF18" s="107"/>
      <c r="AG18" s="107"/>
    </row>
    <row r="19" spans="1:34" ht="15" thickTop="1">
      <c r="A19" s="111" t="s">
        <v>34</v>
      </c>
      <c r="B19" s="105">
        <f>+'LUXIMIA '!H16+'LUXIMIA '!H17+'LUXIMIA '!H28+'LUXIMIA '!H29+'LUXIMIA '!H32</f>
        <v>43811.68</v>
      </c>
      <c r="C19" s="105">
        <f>+'LUXIMIA '!V16+'LUXIMIA '!V17+'LUXIMIA '!V28+'LUXIMIA '!V29+'LUXIMIA '!V32</f>
        <v>13906.217200000001</v>
      </c>
      <c r="D19" s="105">
        <f t="shared" si="0"/>
        <v>1731.536916</v>
      </c>
      <c r="E19" s="105">
        <f t="shared" si="3"/>
        <v>59449.434115999997</v>
      </c>
      <c r="F19" s="105">
        <f t="shared" si="4"/>
        <v>9511.9094585599996</v>
      </c>
      <c r="G19" s="105">
        <f t="shared" si="5"/>
        <v>68961.34357456</v>
      </c>
      <c r="H19" s="105"/>
      <c r="I19" s="105"/>
      <c r="J19" s="105"/>
      <c r="N19" s="111" t="s">
        <v>110</v>
      </c>
      <c r="O19" s="81">
        <f>+SHARK!H16</f>
        <v>15931.52</v>
      </c>
      <c r="P19" s="81">
        <f>+SHARK!X16</f>
        <v>4748.6307999999999</v>
      </c>
      <c r="Q19" s="105">
        <f t="shared" si="1"/>
        <v>620.40452399999992</v>
      </c>
      <c r="R19" s="105">
        <f t="shared" si="6"/>
        <v>21300.555324000001</v>
      </c>
      <c r="S19" s="105">
        <f>+R19*16%</f>
        <v>3408.0888518400002</v>
      </c>
      <c r="T19" s="105">
        <f t="shared" ref="T19" si="7">+R19+S19</f>
        <v>24708.64417584</v>
      </c>
      <c r="AA19" s="111"/>
      <c r="AB19" s="122"/>
      <c r="AC19" s="81"/>
      <c r="AD19" s="116"/>
      <c r="AE19" s="116"/>
      <c r="AF19" s="116"/>
      <c r="AG19" s="116"/>
    </row>
    <row r="20" spans="1:34" ht="14.45">
      <c r="A20" s="111" t="s">
        <v>141</v>
      </c>
      <c r="B20" s="105">
        <f>+'LUXIMIA '!H18+'LUXIMIA '!H24+'LUXIMIA '!H25+'LUXIMIA '!H26</f>
        <v>43811.68</v>
      </c>
      <c r="C20" s="105">
        <f>+'LUXIMIA '!V18+'LUXIMIA '!V24+'LUXIMIA '!V25+'LUXIMIA '!V26</f>
        <v>13529.5672</v>
      </c>
      <c r="D20" s="105">
        <f t="shared" si="0"/>
        <v>1720.2374159999999</v>
      </c>
      <c r="E20" s="105">
        <f t="shared" si="3"/>
        <v>59061.484615999994</v>
      </c>
      <c r="F20" s="105">
        <f t="shared" si="4"/>
        <v>9449.8375385599993</v>
      </c>
      <c r="G20" s="105">
        <f t="shared" si="5"/>
        <v>68511.322154559995</v>
      </c>
      <c r="H20" s="105"/>
      <c r="I20" s="105"/>
      <c r="J20" s="105"/>
      <c r="N20" s="111" t="s">
        <v>147</v>
      </c>
      <c r="O20" s="81"/>
      <c r="P20" s="81">
        <v>0</v>
      </c>
      <c r="Q20" s="105">
        <f t="shared" si="1"/>
        <v>0</v>
      </c>
      <c r="R20" s="105">
        <f t="shared" si="6"/>
        <v>0</v>
      </c>
      <c r="S20" s="105">
        <f>+R20*16%</f>
        <v>0</v>
      </c>
      <c r="T20" s="105">
        <f t="shared" ref="T20:T23" si="8">+R20+S20</f>
        <v>0</v>
      </c>
      <c r="AB20" s="257">
        <f>AB17</f>
        <v>15931.52</v>
      </c>
      <c r="AC20" s="257">
        <f>SUM(AC17:AC18)</f>
        <v>4648.6307999999999</v>
      </c>
      <c r="AD20" s="257">
        <f>SUM(AD17:AD18)</f>
        <v>617.40452399999992</v>
      </c>
      <c r="AE20" s="257">
        <f>SUM(AE17:AE18)</f>
        <v>21197.555324000001</v>
      </c>
      <c r="AF20" s="257">
        <f>SUM(AF17:AF18)</f>
        <v>3391.6088518400002</v>
      </c>
      <c r="AG20" s="258">
        <f>SUM(AG17:AG18)</f>
        <v>24589.16417584</v>
      </c>
    </row>
    <row r="21" spans="1:34" ht="14.45">
      <c r="A21" s="111" t="s">
        <v>45</v>
      </c>
      <c r="B21" s="105">
        <f>+'LUXIMIA '!H20+'LUXIMIA '!H22+'LUXIMIA '!H23+'LUXIMIA '!H33</f>
        <v>43811.680000000008</v>
      </c>
      <c r="C21" s="105">
        <f>+'LUXIMIA '!V20+'LUXIMIA '!V22+'LUXIMIA '!V23+'LUXIMIA '!V33</f>
        <v>13529.497200000002</v>
      </c>
      <c r="D21" s="105">
        <f t="shared" si="0"/>
        <v>1720.235316</v>
      </c>
      <c r="E21" s="105">
        <f t="shared" si="3"/>
        <v>59061.412516000011</v>
      </c>
      <c r="F21" s="105">
        <f t="shared" si="4"/>
        <v>9449.8260025600011</v>
      </c>
      <c r="G21" s="105">
        <f t="shared" si="5"/>
        <v>68511.238518560014</v>
      </c>
      <c r="H21" s="105"/>
      <c r="I21" s="105"/>
      <c r="J21" s="105"/>
      <c r="N21" s="111" t="s">
        <v>122</v>
      </c>
      <c r="O21" s="81">
        <v>0</v>
      </c>
      <c r="P21" s="81">
        <v>0</v>
      </c>
      <c r="Q21" s="105">
        <f t="shared" si="1"/>
        <v>0</v>
      </c>
      <c r="R21" s="105">
        <f t="shared" si="6"/>
        <v>0</v>
      </c>
      <c r="S21" s="105">
        <f t="shared" ref="S21:S23" si="9">+R21*16%</f>
        <v>0</v>
      </c>
      <c r="T21" s="105">
        <f t="shared" si="8"/>
        <v>0</v>
      </c>
      <c r="AC21" s="81"/>
      <c r="AD21" s="81"/>
      <c r="AG21" s="82"/>
    </row>
    <row r="22" spans="1:34" ht="14.45">
      <c r="A22" s="111" t="s">
        <v>70</v>
      </c>
      <c r="B22" s="105">
        <f>+'LUXIMIA '!H31+'LUXIMIA '!H35</f>
        <v>27880.160000000003</v>
      </c>
      <c r="C22" s="105">
        <f>+'LUXIMIA '!V31+'LUXIMIA '!V35</f>
        <v>8404.2164000000012</v>
      </c>
      <c r="D22" s="105">
        <f t="shared" si="0"/>
        <v>1088.5312920000001</v>
      </c>
      <c r="E22" s="105">
        <f t="shared" si="3"/>
        <v>37372.907692000008</v>
      </c>
      <c r="F22" s="105">
        <f t="shared" si="4"/>
        <v>5979.6652307200011</v>
      </c>
      <c r="G22" s="105">
        <f t="shared" si="5"/>
        <v>43352.572922720006</v>
      </c>
      <c r="H22" s="105"/>
      <c r="I22" s="105"/>
      <c r="J22" s="105"/>
      <c r="N22" s="111" t="s">
        <v>115</v>
      </c>
      <c r="O22" s="81">
        <f>+SHARK!H18+SHARK!H20</f>
        <v>15931.52</v>
      </c>
      <c r="P22" s="81">
        <f>+SHARK!X18+SHARK!X20</f>
        <v>5125.2808000000005</v>
      </c>
      <c r="Q22" s="105">
        <f t="shared" si="1"/>
        <v>631.704024</v>
      </c>
      <c r="R22" s="105">
        <f t="shared" si="6"/>
        <v>21688.504824</v>
      </c>
      <c r="S22" s="105">
        <f t="shared" si="9"/>
        <v>3470.1607718400001</v>
      </c>
      <c r="T22" s="105">
        <f t="shared" si="8"/>
        <v>25158.665595840001</v>
      </c>
      <c r="U22" s="81"/>
      <c r="AA22" s="296"/>
      <c r="AB22" s="297"/>
      <c r="AC22" s="296"/>
      <c r="AH22" s="81"/>
    </row>
    <row r="23" spans="1:34" ht="15" thickBot="1">
      <c r="A23" s="111" t="s">
        <v>48</v>
      </c>
      <c r="B23" s="105">
        <f>+'LUXIMIA '!H21</f>
        <v>7965.76</v>
      </c>
      <c r="C23" s="105">
        <f>'LUXIMIA '!V21</f>
        <v>2562.6404000000002</v>
      </c>
      <c r="D23" s="105">
        <f t="shared" si="0"/>
        <v>315.852012</v>
      </c>
      <c r="E23" s="105">
        <f t="shared" si="3"/>
        <v>10844.252412</v>
      </c>
      <c r="F23" s="105">
        <f t="shared" si="4"/>
        <v>1735.08038592</v>
      </c>
      <c r="G23" s="105">
        <f t="shared" si="5"/>
        <v>12579.33279792</v>
      </c>
      <c r="H23" s="105"/>
      <c r="I23" s="105"/>
      <c r="J23" s="105"/>
      <c r="N23" s="111" t="s">
        <v>118</v>
      </c>
      <c r="O23" s="81">
        <f>+SHARK!H19</f>
        <v>7965.76</v>
      </c>
      <c r="P23" s="81">
        <f>+SHARK!X19</f>
        <v>2562.6404000000002</v>
      </c>
      <c r="Q23" s="105">
        <f>+(O23+P23)*$D$16</f>
        <v>315.852012</v>
      </c>
      <c r="R23" s="105">
        <f t="shared" si="6"/>
        <v>10844.252412</v>
      </c>
      <c r="S23" s="105">
        <f t="shared" si="9"/>
        <v>1735.08038592</v>
      </c>
      <c r="T23" s="105">
        <f t="shared" si="8"/>
        <v>12579.33279792</v>
      </c>
      <c r="U23" s="81"/>
      <c r="AF23" s="120"/>
      <c r="AH23" s="81"/>
    </row>
    <row r="24" spans="1:34" ht="15" thickBot="1">
      <c r="A24" s="111" t="s">
        <v>42</v>
      </c>
      <c r="B24" s="105">
        <f>+'LUXIMIA '!H19</f>
        <v>11948.64</v>
      </c>
      <c r="C24" s="105">
        <f>+'LUXIMIA '!V19</f>
        <v>3655.6556</v>
      </c>
      <c r="D24" s="105">
        <f t="shared" si="0"/>
        <v>468.12886799999995</v>
      </c>
      <c r="E24" s="105">
        <f t="shared" si="3"/>
        <v>16072.424467999999</v>
      </c>
      <c r="F24" s="105">
        <f t="shared" si="4"/>
        <v>2571.58791488</v>
      </c>
      <c r="G24" s="105">
        <f t="shared" si="5"/>
        <v>18644.012382879999</v>
      </c>
      <c r="H24" s="105"/>
      <c r="I24" s="105"/>
      <c r="J24" s="105"/>
      <c r="N24" s="111" t="s">
        <v>99</v>
      </c>
      <c r="O24" s="82">
        <v>0</v>
      </c>
      <c r="P24" s="81">
        <v>0</v>
      </c>
      <c r="Q24" s="105">
        <f t="shared" si="1"/>
        <v>0</v>
      </c>
      <c r="R24" s="105">
        <f t="shared" ref="R24" si="10">+O24+Q24+P24</f>
        <v>0</v>
      </c>
      <c r="S24" s="105">
        <f t="shared" ref="S24" si="11">+R24*16%</f>
        <v>0</v>
      </c>
      <c r="T24" s="105">
        <f>+R24+S24</f>
        <v>0</v>
      </c>
      <c r="U24" s="81"/>
      <c r="AF24" s="55" t="s">
        <v>26</v>
      </c>
      <c r="AG24" s="56">
        <f>+AG20</f>
        <v>24589.16417584</v>
      </c>
      <c r="AH24" s="81"/>
    </row>
    <row r="25" spans="1:34" ht="15" thickBot="1">
      <c r="A25" s="111" t="s">
        <v>142</v>
      </c>
      <c r="B25" s="105">
        <f>+'LUXIMIA '!H37</f>
        <v>7965.76</v>
      </c>
      <c r="C25" s="105">
        <f>+'LUXIMIA '!V37</f>
        <v>2562.6404000000002</v>
      </c>
      <c r="D25" s="105">
        <f t="shared" si="0"/>
        <v>315.852012</v>
      </c>
      <c r="E25" s="105">
        <f t="shared" si="3"/>
        <v>10844.252412</v>
      </c>
      <c r="F25" s="105">
        <f t="shared" si="4"/>
        <v>1735.08038592</v>
      </c>
      <c r="G25" s="105">
        <f t="shared" si="5"/>
        <v>12579.33279792</v>
      </c>
      <c r="H25" s="116"/>
      <c r="I25" s="105"/>
      <c r="J25" s="105"/>
      <c r="N25" s="111"/>
      <c r="O25" s="136"/>
      <c r="P25" s="106"/>
      <c r="Q25" s="107"/>
      <c r="R25" s="107"/>
      <c r="S25" s="107"/>
      <c r="T25" s="107"/>
      <c r="U25" s="106"/>
      <c r="AF25" s="120" t="s">
        <v>99</v>
      </c>
      <c r="AG25" s="122">
        <v>0</v>
      </c>
      <c r="AH25" s="106"/>
    </row>
    <row r="26" spans="1:34" ht="15.6" thickTop="1" thickBot="1">
      <c r="A26" s="111" t="s">
        <v>67</v>
      </c>
      <c r="B26" s="105">
        <f>+'LUXIMIA '!H30</f>
        <v>7965.76</v>
      </c>
      <c r="C26" s="105">
        <f>+'LUXIMIA '!V30</f>
        <v>2562.6404000000002</v>
      </c>
      <c r="D26" s="105">
        <f>+(B26+C26)*$D$16</f>
        <v>315.852012</v>
      </c>
      <c r="E26" s="105">
        <f t="shared" si="3"/>
        <v>10844.252412</v>
      </c>
      <c r="F26" s="105">
        <f t="shared" si="4"/>
        <v>1735.08038592</v>
      </c>
      <c r="G26" s="105">
        <f t="shared" si="5"/>
        <v>12579.33279792</v>
      </c>
      <c r="H26" s="116"/>
      <c r="I26" s="105"/>
      <c r="J26" s="105"/>
      <c r="N26" s="111"/>
      <c r="O26" s="122"/>
      <c r="P26" s="81"/>
      <c r="Q26" s="116"/>
      <c r="R26" s="116"/>
      <c r="S26" s="116"/>
      <c r="T26" s="116"/>
      <c r="U26" s="81"/>
      <c r="AA26" s="82"/>
      <c r="AF26" s="55" t="s">
        <v>100</v>
      </c>
      <c r="AG26" s="56">
        <f>+AG24+AG25</f>
        <v>24589.16417584</v>
      </c>
      <c r="AH26" s="81"/>
    </row>
    <row r="27" spans="1:34" ht="14.45">
      <c r="A27" s="111" t="s">
        <v>60</v>
      </c>
      <c r="B27" s="105">
        <f>+'LUXIMIA '!H27+'LUXIMIA '!H34</f>
        <v>15931.52</v>
      </c>
      <c r="C27" s="105">
        <f>'LUXIMIA '!V27+'LUXIMIA '!V34</f>
        <v>5125.2808000000005</v>
      </c>
      <c r="D27" s="105">
        <f>+(B27+C27)*$D$16</f>
        <v>631.704024</v>
      </c>
      <c r="E27" s="105">
        <f t="shared" si="3"/>
        <v>21688.504824</v>
      </c>
      <c r="F27" s="105">
        <f t="shared" si="4"/>
        <v>3470.1607718400001</v>
      </c>
      <c r="G27" s="105">
        <f t="shared" si="5"/>
        <v>25158.665595840001</v>
      </c>
      <c r="H27" s="116"/>
      <c r="I27" s="105"/>
      <c r="J27" s="105"/>
      <c r="N27" s="111"/>
      <c r="O27" s="122"/>
      <c r="P27" s="81"/>
      <c r="Q27" s="116"/>
      <c r="R27" s="116"/>
      <c r="S27" s="116"/>
      <c r="T27" s="116"/>
      <c r="U27" s="81"/>
      <c r="AA27" s="82"/>
      <c r="AF27" s="259"/>
      <c r="AG27" s="260"/>
      <c r="AH27" s="81"/>
    </row>
    <row r="28" spans="1:34">
      <c r="A28" s="101" t="s">
        <v>99</v>
      </c>
      <c r="B28" s="122"/>
      <c r="C28" s="116"/>
      <c r="D28" s="105">
        <f t="shared" si="0"/>
        <v>0</v>
      </c>
      <c r="E28" s="105">
        <f t="shared" si="3"/>
        <v>0</v>
      </c>
      <c r="F28" s="105">
        <f t="shared" si="4"/>
        <v>0</v>
      </c>
      <c r="G28" s="105">
        <f t="shared" si="5"/>
        <v>0</v>
      </c>
      <c r="I28" s="116"/>
      <c r="J28" s="116"/>
      <c r="O28" s="104">
        <f>O17+O18+O19+O20+O21+O22+O23+O24</f>
        <v>59743.200000000004</v>
      </c>
      <c r="P28" s="104">
        <f>SUM(P17:P25)</f>
        <v>18654.848000000002</v>
      </c>
      <c r="Q28" s="104">
        <f>SUM(Q17:Q25)</f>
        <v>2351.9414399999996</v>
      </c>
      <c r="R28" s="104">
        <f>SUM(R17:R25)</f>
        <v>80749.989440000005</v>
      </c>
      <c r="S28" s="104">
        <f>SUM(S17:S25)</f>
        <v>12919.9983104</v>
      </c>
      <c r="T28" s="109">
        <f>SUM(T17:T25)</f>
        <v>93669.987750399989</v>
      </c>
      <c r="AA28" s="82"/>
      <c r="AG28" s="82"/>
    </row>
    <row r="29" spans="1:34" ht="13.9" thickBot="1">
      <c r="A29" s="101"/>
      <c r="B29" s="106"/>
      <c r="C29" s="107">
        <v>0</v>
      </c>
      <c r="D29" s="107">
        <f t="shared" si="0"/>
        <v>0</v>
      </c>
      <c r="E29" s="105">
        <f t="shared" si="3"/>
        <v>0</v>
      </c>
      <c r="F29" s="105">
        <f t="shared" si="4"/>
        <v>0</v>
      </c>
      <c r="G29" s="105">
        <f t="shared" si="5"/>
        <v>0</v>
      </c>
      <c r="P29" s="81">
        <f>+P28-SHARK!X22</f>
        <v>-2562.6404000000002</v>
      </c>
      <c r="Q29" s="81"/>
      <c r="T29" s="82">
        <f>+T28-SHARK!AE26</f>
        <v>-12579.332797919997</v>
      </c>
    </row>
    <row r="30" spans="1:34" ht="16.899999999999999" thickTop="1" thickBot="1">
      <c r="B30" s="104">
        <f>SUM(B17:B29)</f>
        <v>231007.04</v>
      </c>
      <c r="C30" s="104">
        <f>SUM(C17:C29)</f>
        <v>71679.931600000011</v>
      </c>
      <c r="D30" s="148">
        <f>SUM(D17:D29)</f>
        <v>9080.6091480000014</v>
      </c>
      <c r="E30" s="104">
        <f t="shared" ref="E30:F30" si="12">SUM(E17:E29)</f>
        <v>311767.58074799995</v>
      </c>
      <c r="F30" s="104">
        <f t="shared" si="12"/>
        <v>49882.812919680007</v>
      </c>
      <c r="G30" s="109">
        <f>SUM(G17:G29)+G34</f>
        <v>361650.39366767992</v>
      </c>
      <c r="O30" s="81"/>
      <c r="AB30" s="336" t="s">
        <v>99</v>
      </c>
      <c r="AC30" s="337"/>
    </row>
    <row r="31" spans="1:34" ht="16.149999999999999" thickBot="1">
      <c r="B31" s="81"/>
      <c r="C31" s="146"/>
      <c r="D31" s="81"/>
      <c r="G31" s="82">
        <f>G30-'LUXIMIA '!AC43</f>
        <v>-43636.684892640042</v>
      </c>
      <c r="S31" s="120"/>
      <c r="AB31" s="112"/>
      <c r="AC31" s="112"/>
    </row>
    <row r="32" spans="1:34" ht="15" thickBot="1">
      <c r="B32" s="81"/>
      <c r="C32" s="82"/>
      <c r="S32" s="55" t="s">
        <v>26</v>
      </c>
      <c r="T32" s="56">
        <f>+T28</f>
        <v>93669.987750399989</v>
      </c>
    </row>
    <row r="33" spans="1:34" ht="29.45" thickBot="1">
      <c r="B33" s="82"/>
      <c r="C33" s="299"/>
      <c r="D33" s="296"/>
      <c r="E33" s="296"/>
      <c r="F33" s="296"/>
      <c r="H33" s="82"/>
      <c r="S33" s="120" t="s">
        <v>99</v>
      </c>
      <c r="T33" s="81"/>
      <c r="AA33" s="101"/>
      <c r="AB33" s="126" t="s">
        <v>148</v>
      </c>
      <c r="AC33" s="126" t="s">
        <v>149</v>
      </c>
      <c r="AD33" s="127" t="s">
        <v>138</v>
      </c>
      <c r="AE33" s="128" t="s">
        <v>30</v>
      </c>
      <c r="AF33" s="128" t="s">
        <v>139</v>
      </c>
      <c r="AG33" s="128" t="s">
        <v>139</v>
      </c>
    </row>
    <row r="34" spans="1:34" ht="15" thickBot="1">
      <c r="C34" s="338"/>
      <c r="D34" s="338"/>
      <c r="E34" s="338"/>
      <c r="F34" s="338"/>
      <c r="G34" s="81"/>
      <c r="H34" s="82"/>
      <c r="K34" s="82"/>
      <c r="N34" s="82"/>
      <c r="S34" s="55" t="s">
        <v>100</v>
      </c>
      <c r="T34" s="56">
        <f>+T32+T33</f>
        <v>93669.987750399989</v>
      </c>
      <c r="U34" s="82">
        <f>+T34-SHARK!AE26</f>
        <v>-12579.332797919997</v>
      </c>
      <c r="AA34" s="101"/>
      <c r="AB34" s="140"/>
      <c r="AC34" s="140"/>
      <c r="AD34" s="141"/>
      <c r="AE34" s="142"/>
      <c r="AF34" s="142"/>
      <c r="AG34" s="142"/>
      <c r="AH34" s="82"/>
    </row>
    <row r="35" spans="1:34" ht="15" thickBot="1">
      <c r="F35" s="55" t="s">
        <v>100</v>
      </c>
      <c r="G35" s="56">
        <f>G30+G43</f>
        <v>361650.39366767992</v>
      </c>
      <c r="I35" s="82"/>
      <c r="J35" s="82"/>
      <c r="N35" s="82"/>
      <c r="T35" s="82">
        <f>+T34-SHARK!AE26</f>
        <v>-12579.332797919997</v>
      </c>
      <c r="AA35" s="261"/>
      <c r="AB35" s="262"/>
      <c r="AC35" s="116">
        <f>+AB35*$D$16</f>
        <v>0</v>
      </c>
      <c r="AD35" s="116">
        <f>+AC35+AB35</f>
        <v>0</v>
      </c>
      <c r="AE35" s="116">
        <f t="shared" ref="AE35:AE37" si="13">+AD35*16%</f>
        <v>0</v>
      </c>
      <c r="AF35" s="116">
        <f t="shared" ref="AF35:AF37" si="14">+AD35+AE35</f>
        <v>0</v>
      </c>
      <c r="AG35" s="81">
        <f>AF35</f>
        <v>0</v>
      </c>
    </row>
    <row r="36" spans="1:34" ht="15" thickBot="1">
      <c r="G36" s="82"/>
      <c r="H36" s="82"/>
      <c r="J36" s="82"/>
      <c r="K36" s="82"/>
      <c r="AA36" s="261"/>
      <c r="AB36" s="262"/>
      <c r="AC36" s="116">
        <f>+AB36*$D$16</f>
        <v>0</v>
      </c>
      <c r="AD36" s="116">
        <f>+AC36+AB36</f>
        <v>0</v>
      </c>
      <c r="AE36" s="116">
        <f>+AD36*16%</f>
        <v>0</v>
      </c>
      <c r="AF36" s="116">
        <f>+AD36+AE36</f>
        <v>0</v>
      </c>
      <c r="AG36" s="81">
        <f>+AF36</f>
        <v>0</v>
      </c>
    </row>
    <row r="37" spans="1:34" ht="16.149999999999999" thickBot="1">
      <c r="O37" s="336" t="s">
        <v>99</v>
      </c>
      <c r="P37" s="337"/>
      <c r="AA37" s="263"/>
      <c r="AB37" s="264"/>
      <c r="AC37" s="107">
        <f>+AB37*$D$16</f>
        <v>0</v>
      </c>
      <c r="AD37" s="107">
        <f>+AC37+AB37</f>
        <v>0</v>
      </c>
      <c r="AE37" s="107">
        <f t="shared" si="13"/>
        <v>0</v>
      </c>
      <c r="AF37" s="107">
        <f t="shared" si="14"/>
        <v>0</v>
      </c>
      <c r="AG37" s="106">
        <f>+AF37</f>
        <v>0</v>
      </c>
    </row>
    <row r="38" spans="1:34" ht="16.149999999999999" thickBot="1">
      <c r="A38" s="336" t="s">
        <v>99</v>
      </c>
      <c r="B38" s="337"/>
      <c r="O38" s="112"/>
      <c r="P38" s="112"/>
      <c r="AB38" s="265">
        <f t="shared" ref="AB38:AG38" si="15">SUM(AB35:AB37)</f>
        <v>0</v>
      </c>
      <c r="AC38" s="265">
        <f t="shared" si="15"/>
        <v>0</v>
      </c>
      <c r="AD38" s="265">
        <f t="shared" si="15"/>
        <v>0</v>
      </c>
      <c r="AE38" s="266">
        <f t="shared" si="15"/>
        <v>0</v>
      </c>
      <c r="AF38" s="266">
        <f t="shared" si="15"/>
        <v>0</v>
      </c>
      <c r="AG38" s="266">
        <f t="shared" si="15"/>
        <v>0</v>
      </c>
    </row>
    <row r="39" spans="1:34" ht="28.9">
      <c r="B39" s="126" t="s">
        <v>148</v>
      </c>
      <c r="C39" s="126" t="s">
        <v>149</v>
      </c>
      <c r="D39" s="127" t="s">
        <v>138</v>
      </c>
      <c r="E39" s="128" t="s">
        <v>30</v>
      </c>
      <c r="F39" s="128" t="s">
        <v>139</v>
      </c>
      <c r="G39" s="128" t="s">
        <v>139</v>
      </c>
      <c r="H39" s="125"/>
    </row>
    <row r="40" spans="1:34" ht="21.75" customHeight="1" thickBot="1">
      <c r="B40" s="131"/>
      <c r="C40" s="132"/>
      <c r="D40" s="132"/>
      <c r="E40" s="132"/>
      <c r="F40" s="132"/>
      <c r="G40" s="133"/>
      <c r="H40" s="170"/>
      <c r="N40" s="101"/>
      <c r="O40" s="126" t="s">
        <v>148</v>
      </c>
      <c r="P40" s="126" t="s">
        <v>149</v>
      </c>
      <c r="Q40" s="127" t="s">
        <v>138</v>
      </c>
      <c r="R40" s="128" t="s">
        <v>30</v>
      </c>
      <c r="S40" s="128" t="s">
        <v>139</v>
      </c>
      <c r="T40" s="128" t="s">
        <v>139</v>
      </c>
      <c r="AB40" s="82"/>
      <c r="AG40" s="81"/>
    </row>
    <row r="41" spans="1:34" ht="21.75" customHeight="1" thickBot="1">
      <c r="A41" s="143"/>
      <c r="B41" s="139"/>
      <c r="C41" s="107">
        <f t="shared" ref="C41:C42" si="16">+B41*$D$16</f>
        <v>0</v>
      </c>
      <c r="D41" s="107">
        <f t="shared" ref="D41:D42" si="17">+C41+B41</f>
        <v>0</v>
      </c>
      <c r="E41" s="116">
        <f>+D41*16%</f>
        <v>0</v>
      </c>
      <c r="F41" s="116">
        <f>+D41+E41</f>
        <v>0</v>
      </c>
      <c r="G41" s="81">
        <f>+F41</f>
        <v>0</v>
      </c>
      <c r="H41" s="170"/>
      <c r="O41" s="140"/>
      <c r="P41" s="140"/>
      <c r="Q41" s="141"/>
      <c r="R41" s="142"/>
      <c r="S41" s="142"/>
      <c r="T41" s="142"/>
    </row>
    <row r="42" spans="1:34" ht="15.6" thickTop="1" thickBot="1">
      <c r="A42" s="138"/>
      <c r="B42" s="121"/>
      <c r="C42" s="107">
        <f t="shared" si="16"/>
        <v>0</v>
      </c>
      <c r="D42" s="107">
        <f t="shared" si="17"/>
        <v>0</v>
      </c>
      <c r="E42" s="107">
        <f t="shared" ref="E42" si="18">+D42*16%</f>
        <v>0</v>
      </c>
      <c r="F42" s="107">
        <f t="shared" ref="F42" si="19">+D42+E42</f>
        <v>0</v>
      </c>
      <c r="G42" s="106">
        <f t="shared" ref="G42" si="20">+F42</f>
        <v>0</v>
      </c>
      <c r="N42" s="143"/>
      <c r="O42" s="139"/>
      <c r="P42" s="116">
        <f>+O42*3%</f>
        <v>0</v>
      </c>
      <c r="Q42" s="116">
        <f>+O42+P42</f>
        <v>0</v>
      </c>
      <c r="R42" s="116">
        <f>+Q42*16%</f>
        <v>0</v>
      </c>
      <c r="S42" s="116">
        <f>+Q42+R42</f>
        <v>0</v>
      </c>
      <c r="T42" s="81">
        <f>+S42</f>
        <v>0</v>
      </c>
      <c r="U42" s="101"/>
      <c r="AH42" s="101"/>
    </row>
    <row r="43" spans="1:34" ht="13.9" thickTop="1">
      <c r="A43" s="139"/>
      <c r="B43" s="116">
        <f t="shared" ref="B43:G43" si="21">SUM(B40:B42)</f>
        <v>0</v>
      </c>
      <c r="C43" s="116">
        <f t="shared" si="21"/>
        <v>0</v>
      </c>
      <c r="D43" s="116">
        <f t="shared" si="21"/>
        <v>0</v>
      </c>
      <c r="E43" s="116">
        <f t="shared" si="21"/>
        <v>0</v>
      </c>
      <c r="F43" s="81">
        <f t="shared" si="21"/>
        <v>0</v>
      </c>
      <c r="G43" s="129">
        <f t="shared" si="21"/>
        <v>0</v>
      </c>
      <c r="N43" s="228"/>
      <c r="O43" s="227"/>
      <c r="P43" s="116">
        <f>+O43*3%</f>
        <v>0</v>
      </c>
      <c r="Q43" s="116">
        <f>+O43+P43</f>
        <v>0</v>
      </c>
      <c r="R43" s="116">
        <f>+Q43*16%</f>
        <v>0</v>
      </c>
      <c r="S43" s="116">
        <f>+Q43+R43</f>
        <v>0</v>
      </c>
      <c r="T43" s="81">
        <f>+S43</f>
        <v>0</v>
      </c>
      <c r="U43" s="101"/>
      <c r="AE43" s="82"/>
    </row>
    <row r="44" spans="1:34" ht="13.9" thickBot="1">
      <c r="N44" s="226"/>
      <c r="O44" s="134"/>
      <c r="P44" s="107">
        <f>+O44*$D$16</f>
        <v>0</v>
      </c>
      <c r="Q44" s="107">
        <f>+P44+O44</f>
        <v>0</v>
      </c>
      <c r="R44" s="107">
        <f t="shared" ref="R44" si="22">+Q44*16%</f>
        <v>0</v>
      </c>
      <c r="S44" s="107">
        <f t="shared" ref="S44" si="23">+Q44+R44</f>
        <v>0</v>
      </c>
      <c r="T44" s="106">
        <f>+S44</f>
        <v>0</v>
      </c>
      <c r="U44" s="101"/>
      <c r="AE44" s="82"/>
    </row>
    <row r="45" spans="1:34" ht="13.9" thickTop="1">
      <c r="F45" s="82"/>
      <c r="O45" s="124">
        <f t="shared" ref="O45:T45" si="24">SUM(O42:O44)</f>
        <v>0</v>
      </c>
      <c r="P45" s="124">
        <f t="shared" si="24"/>
        <v>0</v>
      </c>
      <c r="Q45" s="124">
        <f t="shared" si="24"/>
        <v>0</v>
      </c>
      <c r="R45" s="129">
        <f t="shared" si="24"/>
        <v>0</v>
      </c>
      <c r="S45" s="129">
        <f t="shared" si="24"/>
        <v>0</v>
      </c>
      <c r="T45" s="129">
        <f t="shared" si="24"/>
        <v>0</v>
      </c>
      <c r="AA45" s="82"/>
    </row>
    <row r="46" spans="1:34">
      <c r="U46" s="82"/>
      <c r="AH46" s="82"/>
    </row>
    <row r="47" spans="1:34">
      <c r="O47" s="82"/>
      <c r="T47" s="81"/>
    </row>
    <row r="49" spans="14:18">
      <c r="N49" s="81"/>
    </row>
    <row r="50" spans="14:18">
      <c r="R50" s="82"/>
    </row>
    <row r="51" spans="14:18">
      <c r="R51" s="82"/>
    </row>
  </sheetData>
  <mergeCells count="4">
    <mergeCell ref="O37:P37"/>
    <mergeCell ref="A38:B38"/>
    <mergeCell ref="C34:F34"/>
    <mergeCell ref="AB30:AC30"/>
  </mergeCells>
  <pageMargins left="0" right="0" top="0.74803149606299213" bottom="0.74803149606299213" header="0.31496062992125984" footer="0.31496062992125984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/>
  </sheetPr>
  <dimension ref="A2:J31"/>
  <sheetViews>
    <sheetView workbookViewId="0">
      <selection activeCell="B7" sqref="B7"/>
    </sheetView>
  </sheetViews>
  <sheetFormatPr defaultColWidth="11.42578125" defaultRowHeight="13.15"/>
  <cols>
    <col min="1" max="1" width="22.85546875" style="17" bestFit="1" customWidth="1"/>
    <col min="2" max="3" width="20" style="17" customWidth="1"/>
    <col min="4" max="4" width="12.5703125" style="17" bestFit="1" customWidth="1"/>
    <col min="5" max="5" width="14.5703125" style="17" customWidth="1"/>
    <col min="6" max="6" width="20" style="17" bestFit="1" customWidth="1"/>
    <col min="7" max="7" width="18.140625" style="17" customWidth="1"/>
    <col min="8" max="8" width="12.5703125" style="17" bestFit="1" customWidth="1"/>
    <col min="9" max="255" width="11.42578125" style="17"/>
    <col min="256" max="256" width="16.42578125" style="17" customWidth="1"/>
    <col min="257" max="257" width="20" style="17" customWidth="1"/>
    <col min="258" max="258" width="11.5703125" style="17" customWidth="1"/>
    <col min="259" max="259" width="14.5703125" style="17" customWidth="1"/>
    <col min="260" max="260" width="15.42578125" style="17" customWidth="1"/>
    <col min="261" max="261" width="15.140625" style="17" customWidth="1"/>
    <col min="262" max="262" width="16.7109375" style="17" customWidth="1"/>
    <col min="263" max="511" width="11.42578125" style="17"/>
    <col min="512" max="512" width="16.42578125" style="17" customWidth="1"/>
    <col min="513" max="513" width="20" style="17" customWidth="1"/>
    <col min="514" max="514" width="11.5703125" style="17" customWidth="1"/>
    <col min="515" max="515" width="14.5703125" style="17" customWidth="1"/>
    <col min="516" max="516" width="15.42578125" style="17" customWidth="1"/>
    <col min="517" max="517" width="15.140625" style="17" customWidth="1"/>
    <col min="518" max="518" width="16.7109375" style="17" customWidth="1"/>
    <col min="519" max="767" width="11.42578125" style="17"/>
    <col min="768" max="768" width="16.42578125" style="17" customWidth="1"/>
    <col min="769" max="769" width="20" style="17" customWidth="1"/>
    <col min="770" max="770" width="11.5703125" style="17" customWidth="1"/>
    <col min="771" max="771" width="14.5703125" style="17" customWidth="1"/>
    <col min="772" max="772" width="15.42578125" style="17" customWidth="1"/>
    <col min="773" max="773" width="15.140625" style="17" customWidth="1"/>
    <col min="774" max="774" width="16.7109375" style="17" customWidth="1"/>
    <col min="775" max="1023" width="11.42578125" style="17"/>
    <col min="1024" max="1024" width="16.42578125" style="17" customWidth="1"/>
    <col min="1025" max="1025" width="20" style="17" customWidth="1"/>
    <col min="1026" max="1026" width="11.5703125" style="17" customWidth="1"/>
    <col min="1027" max="1027" width="14.5703125" style="17" customWidth="1"/>
    <col min="1028" max="1028" width="15.42578125" style="17" customWidth="1"/>
    <col min="1029" max="1029" width="15.140625" style="17" customWidth="1"/>
    <col min="1030" max="1030" width="16.7109375" style="17" customWidth="1"/>
    <col min="1031" max="1279" width="11.42578125" style="17"/>
    <col min="1280" max="1280" width="16.42578125" style="17" customWidth="1"/>
    <col min="1281" max="1281" width="20" style="17" customWidth="1"/>
    <col min="1282" max="1282" width="11.5703125" style="17" customWidth="1"/>
    <col min="1283" max="1283" width="14.5703125" style="17" customWidth="1"/>
    <col min="1284" max="1284" width="15.42578125" style="17" customWidth="1"/>
    <col min="1285" max="1285" width="15.140625" style="17" customWidth="1"/>
    <col min="1286" max="1286" width="16.7109375" style="17" customWidth="1"/>
    <col min="1287" max="1535" width="11.42578125" style="17"/>
    <col min="1536" max="1536" width="16.42578125" style="17" customWidth="1"/>
    <col min="1537" max="1537" width="20" style="17" customWidth="1"/>
    <col min="1538" max="1538" width="11.5703125" style="17" customWidth="1"/>
    <col min="1539" max="1539" width="14.5703125" style="17" customWidth="1"/>
    <col min="1540" max="1540" width="15.42578125" style="17" customWidth="1"/>
    <col min="1541" max="1541" width="15.140625" style="17" customWidth="1"/>
    <col min="1542" max="1542" width="16.7109375" style="17" customWidth="1"/>
    <col min="1543" max="1791" width="11.42578125" style="17"/>
    <col min="1792" max="1792" width="16.42578125" style="17" customWidth="1"/>
    <col min="1793" max="1793" width="20" style="17" customWidth="1"/>
    <col min="1794" max="1794" width="11.5703125" style="17" customWidth="1"/>
    <col min="1795" max="1795" width="14.5703125" style="17" customWidth="1"/>
    <col min="1796" max="1796" width="15.42578125" style="17" customWidth="1"/>
    <col min="1797" max="1797" width="15.140625" style="17" customWidth="1"/>
    <col min="1798" max="1798" width="16.7109375" style="17" customWidth="1"/>
    <col min="1799" max="2047" width="11.42578125" style="17"/>
    <col min="2048" max="2048" width="16.42578125" style="17" customWidth="1"/>
    <col min="2049" max="2049" width="20" style="17" customWidth="1"/>
    <col min="2050" max="2050" width="11.5703125" style="17" customWidth="1"/>
    <col min="2051" max="2051" width="14.5703125" style="17" customWidth="1"/>
    <col min="2052" max="2052" width="15.42578125" style="17" customWidth="1"/>
    <col min="2053" max="2053" width="15.140625" style="17" customWidth="1"/>
    <col min="2054" max="2054" width="16.7109375" style="17" customWidth="1"/>
    <col min="2055" max="2303" width="11.42578125" style="17"/>
    <col min="2304" max="2304" width="16.42578125" style="17" customWidth="1"/>
    <col min="2305" max="2305" width="20" style="17" customWidth="1"/>
    <col min="2306" max="2306" width="11.5703125" style="17" customWidth="1"/>
    <col min="2307" max="2307" width="14.5703125" style="17" customWidth="1"/>
    <col min="2308" max="2308" width="15.42578125" style="17" customWidth="1"/>
    <col min="2309" max="2309" width="15.140625" style="17" customWidth="1"/>
    <col min="2310" max="2310" width="16.7109375" style="17" customWidth="1"/>
    <col min="2311" max="2559" width="11.42578125" style="17"/>
    <col min="2560" max="2560" width="16.42578125" style="17" customWidth="1"/>
    <col min="2561" max="2561" width="20" style="17" customWidth="1"/>
    <col min="2562" max="2562" width="11.5703125" style="17" customWidth="1"/>
    <col min="2563" max="2563" width="14.5703125" style="17" customWidth="1"/>
    <col min="2564" max="2564" width="15.42578125" style="17" customWidth="1"/>
    <col min="2565" max="2565" width="15.140625" style="17" customWidth="1"/>
    <col min="2566" max="2566" width="16.7109375" style="17" customWidth="1"/>
    <col min="2567" max="2815" width="11.42578125" style="17"/>
    <col min="2816" max="2816" width="16.42578125" style="17" customWidth="1"/>
    <col min="2817" max="2817" width="20" style="17" customWidth="1"/>
    <col min="2818" max="2818" width="11.5703125" style="17" customWidth="1"/>
    <col min="2819" max="2819" width="14.5703125" style="17" customWidth="1"/>
    <col min="2820" max="2820" width="15.42578125" style="17" customWidth="1"/>
    <col min="2821" max="2821" width="15.140625" style="17" customWidth="1"/>
    <col min="2822" max="2822" width="16.7109375" style="17" customWidth="1"/>
    <col min="2823" max="3071" width="11.42578125" style="17"/>
    <col min="3072" max="3072" width="16.42578125" style="17" customWidth="1"/>
    <col min="3073" max="3073" width="20" style="17" customWidth="1"/>
    <col min="3074" max="3074" width="11.5703125" style="17" customWidth="1"/>
    <col min="3075" max="3075" width="14.5703125" style="17" customWidth="1"/>
    <col min="3076" max="3076" width="15.42578125" style="17" customWidth="1"/>
    <col min="3077" max="3077" width="15.140625" style="17" customWidth="1"/>
    <col min="3078" max="3078" width="16.7109375" style="17" customWidth="1"/>
    <col min="3079" max="3327" width="11.42578125" style="17"/>
    <col min="3328" max="3328" width="16.42578125" style="17" customWidth="1"/>
    <col min="3329" max="3329" width="20" style="17" customWidth="1"/>
    <col min="3330" max="3330" width="11.5703125" style="17" customWidth="1"/>
    <col min="3331" max="3331" width="14.5703125" style="17" customWidth="1"/>
    <col min="3332" max="3332" width="15.42578125" style="17" customWidth="1"/>
    <col min="3333" max="3333" width="15.140625" style="17" customWidth="1"/>
    <col min="3334" max="3334" width="16.7109375" style="17" customWidth="1"/>
    <col min="3335" max="3583" width="11.42578125" style="17"/>
    <col min="3584" max="3584" width="16.42578125" style="17" customWidth="1"/>
    <col min="3585" max="3585" width="20" style="17" customWidth="1"/>
    <col min="3586" max="3586" width="11.5703125" style="17" customWidth="1"/>
    <col min="3587" max="3587" width="14.5703125" style="17" customWidth="1"/>
    <col min="3588" max="3588" width="15.42578125" style="17" customWidth="1"/>
    <col min="3589" max="3589" width="15.140625" style="17" customWidth="1"/>
    <col min="3590" max="3590" width="16.7109375" style="17" customWidth="1"/>
    <col min="3591" max="3839" width="11.42578125" style="17"/>
    <col min="3840" max="3840" width="16.42578125" style="17" customWidth="1"/>
    <col min="3841" max="3841" width="20" style="17" customWidth="1"/>
    <col min="3842" max="3842" width="11.5703125" style="17" customWidth="1"/>
    <col min="3843" max="3843" width="14.5703125" style="17" customWidth="1"/>
    <col min="3844" max="3844" width="15.42578125" style="17" customWidth="1"/>
    <col min="3845" max="3845" width="15.140625" style="17" customWidth="1"/>
    <col min="3846" max="3846" width="16.7109375" style="17" customWidth="1"/>
    <col min="3847" max="4095" width="11.42578125" style="17"/>
    <col min="4096" max="4096" width="16.42578125" style="17" customWidth="1"/>
    <col min="4097" max="4097" width="20" style="17" customWidth="1"/>
    <col min="4098" max="4098" width="11.5703125" style="17" customWidth="1"/>
    <col min="4099" max="4099" width="14.5703125" style="17" customWidth="1"/>
    <col min="4100" max="4100" width="15.42578125" style="17" customWidth="1"/>
    <col min="4101" max="4101" width="15.140625" style="17" customWidth="1"/>
    <col min="4102" max="4102" width="16.7109375" style="17" customWidth="1"/>
    <col min="4103" max="4351" width="11.42578125" style="17"/>
    <col min="4352" max="4352" width="16.42578125" style="17" customWidth="1"/>
    <col min="4353" max="4353" width="20" style="17" customWidth="1"/>
    <col min="4354" max="4354" width="11.5703125" style="17" customWidth="1"/>
    <col min="4355" max="4355" width="14.5703125" style="17" customWidth="1"/>
    <col min="4356" max="4356" width="15.42578125" style="17" customWidth="1"/>
    <col min="4357" max="4357" width="15.140625" style="17" customWidth="1"/>
    <col min="4358" max="4358" width="16.7109375" style="17" customWidth="1"/>
    <col min="4359" max="4607" width="11.42578125" style="17"/>
    <col min="4608" max="4608" width="16.42578125" style="17" customWidth="1"/>
    <col min="4609" max="4609" width="20" style="17" customWidth="1"/>
    <col min="4610" max="4610" width="11.5703125" style="17" customWidth="1"/>
    <col min="4611" max="4611" width="14.5703125" style="17" customWidth="1"/>
    <col min="4612" max="4612" width="15.42578125" style="17" customWidth="1"/>
    <col min="4613" max="4613" width="15.140625" style="17" customWidth="1"/>
    <col min="4614" max="4614" width="16.7109375" style="17" customWidth="1"/>
    <col min="4615" max="4863" width="11.42578125" style="17"/>
    <col min="4864" max="4864" width="16.42578125" style="17" customWidth="1"/>
    <col min="4865" max="4865" width="20" style="17" customWidth="1"/>
    <col min="4866" max="4866" width="11.5703125" style="17" customWidth="1"/>
    <col min="4867" max="4867" width="14.5703125" style="17" customWidth="1"/>
    <col min="4868" max="4868" width="15.42578125" style="17" customWidth="1"/>
    <col min="4869" max="4869" width="15.140625" style="17" customWidth="1"/>
    <col min="4870" max="4870" width="16.7109375" style="17" customWidth="1"/>
    <col min="4871" max="5119" width="11.42578125" style="17"/>
    <col min="5120" max="5120" width="16.42578125" style="17" customWidth="1"/>
    <col min="5121" max="5121" width="20" style="17" customWidth="1"/>
    <col min="5122" max="5122" width="11.5703125" style="17" customWidth="1"/>
    <col min="5123" max="5123" width="14.5703125" style="17" customWidth="1"/>
    <col min="5124" max="5124" width="15.42578125" style="17" customWidth="1"/>
    <col min="5125" max="5125" width="15.140625" style="17" customWidth="1"/>
    <col min="5126" max="5126" width="16.7109375" style="17" customWidth="1"/>
    <col min="5127" max="5375" width="11.42578125" style="17"/>
    <col min="5376" max="5376" width="16.42578125" style="17" customWidth="1"/>
    <col min="5377" max="5377" width="20" style="17" customWidth="1"/>
    <col min="5378" max="5378" width="11.5703125" style="17" customWidth="1"/>
    <col min="5379" max="5379" width="14.5703125" style="17" customWidth="1"/>
    <col min="5380" max="5380" width="15.42578125" style="17" customWidth="1"/>
    <col min="5381" max="5381" width="15.140625" style="17" customWidth="1"/>
    <col min="5382" max="5382" width="16.7109375" style="17" customWidth="1"/>
    <col min="5383" max="5631" width="11.42578125" style="17"/>
    <col min="5632" max="5632" width="16.42578125" style="17" customWidth="1"/>
    <col min="5633" max="5633" width="20" style="17" customWidth="1"/>
    <col min="5634" max="5634" width="11.5703125" style="17" customWidth="1"/>
    <col min="5635" max="5635" width="14.5703125" style="17" customWidth="1"/>
    <col min="5636" max="5636" width="15.42578125" style="17" customWidth="1"/>
    <col min="5637" max="5637" width="15.140625" style="17" customWidth="1"/>
    <col min="5638" max="5638" width="16.7109375" style="17" customWidth="1"/>
    <col min="5639" max="5887" width="11.42578125" style="17"/>
    <col min="5888" max="5888" width="16.42578125" style="17" customWidth="1"/>
    <col min="5889" max="5889" width="20" style="17" customWidth="1"/>
    <col min="5890" max="5890" width="11.5703125" style="17" customWidth="1"/>
    <col min="5891" max="5891" width="14.5703125" style="17" customWidth="1"/>
    <col min="5892" max="5892" width="15.42578125" style="17" customWidth="1"/>
    <col min="5893" max="5893" width="15.140625" style="17" customWidth="1"/>
    <col min="5894" max="5894" width="16.7109375" style="17" customWidth="1"/>
    <col min="5895" max="6143" width="11.42578125" style="17"/>
    <col min="6144" max="6144" width="16.42578125" style="17" customWidth="1"/>
    <col min="6145" max="6145" width="20" style="17" customWidth="1"/>
    <col min="6146" max="6146" width="11.5703125" style="17" customWidth="1"/>
    <col min="6147" max="6147" width="14.5703125" style="17" customWidth="1"/>
    <col min="6148" max="6148" width="15.42578125" style="17" customWidth="1"/>
    <col min="6149" max="6149" width="15.140625" style="17" customWidth="1"/>
    <col min="6150" max="6150" width="16.7109375" style="17" customWidth="1"/>
    <col min="6151" max="6399" width="11.42578125" style="17"/>
    <col min="6400" max="6400" width="16.42578125" style="17" customWidth="1"/>
    <col min="6401" max="6401" width="20" style="17" customWidth="1"/>
    <col min="6402" max="6402" width="11.5703125" style="17" customWidth="1"/>
    <col min="6403" max="6403" width="14.5703125" style="17" customWidth="1"/>
    <col min="6404" max="6404" width="15.42578125" style="17" customWidth="1"/>
    <col min="6405" max="6405" width="15.140625" style="17" customWidth="1"/>
    <col min="6406" max="6406" width="16.7109375" style="17" customWidth="1"/>
    <col min="6407" max="6655" width="11.42578125" style="17"/>
    <col min="6656" max="6656" width="16.42578125" style="17" customWidth="1"/>
    <col min="6657" max="6657" width="20" style="17" customWidth="1"/>
    <col min="6658" max="6658" width="11.5703125" style="17" customWidth="1"/>
    <col min="6659" max="6659" width="14.5703125" style="17" customWidth="1"/>
    <col min="6660" max="6660" width="15.42578125" style="17" customWidth="1"/>
    <col min="6661" max="6661" width="15.140625" style="17" customWidth="1"/>
    <col min="6662" max="6662" width="16.7109375" style="17" customWidth="1"/>
    <col min="6663" max="6911" width="11.42578125" style="17"/>
    <col min="6912" max="6912" width="16.42578125" style="17" customWidth="1"/>
    <col min="6913" max="6913" width="20" style="17" customWidth="1"/>
    <col min="6914" max="6914" width="11.5703125" style="17" customWidth="1"/>
    <col min="6915" max="6915" width="14.5703125" style="17" customWidth="1"/>
    <col min="6916" max="6916" width="15.42578125" style="17" customWidth="1"/>
    <col min="6917" max="6917" width="15.140625" style="17" customWidth="1"/>
    <col min="6918" max="6918" width="16.7109375" style="17" customWidth="1"/>
    <col min="6919" max="7167" width="11.42578125" style="17"/>
    <col min="7168" max="7168" width="16.42578125" style="17" customWidth="1"/>
    <col min="7169" max="7169" width="20" style="17" customWidth="1"/>
    <col min="7170" max="7170" width="11.5703125" style="17" customWidth="1"/>
    <col min="7171" max="7171" width="14.5703125" style="17" customWidth="1"/>
    <col min="7172" max="7172" width="15.42578125" style="17" customWidth="1"/>
    <col min="7173" max="7173" width="15.140625" style="17" customWidth="1"/>
    <col min="7174" max="7174" width="16.7109375" style="17" customWidth="1"/>
    <col min="7175" max="7423" width="11.42578125" style="17"/>
    <col min="7424" max="7424" width="16.42578125" style="17" customWidth="1"/>
    <col min="7425" max="7425" width="20" style="17" customWidth="1"/>
    <col min="7426" max="7426" width="11.5703125" style="17" customWidth="1"/>
    <col min="7427" max="7427" width="14.5703125" style="17" customWidth="1"/>
    <col min="7428" max="7428" width="15.42578125" style="17" customWidth="1"/>
    <col min="7429" max="7429" width="15.140625" style="17" customWidth="1"/>
    <col min="7430" max="7430" width="16.7109375" style="17" customWidth="1"/>
    <col min="7431" max="7679" width="11.42578125" style="17"/>
    <col min="7680" max="7680" width="16.42578125" style="17" customWidth="1"/>
    <col min="7681" max="7681" width="20" style="17" customWidth="1"/>
    <col min="7682" max="7682" width="11.5703125" style="17" customWidth="1"/>
    <col min="7683" max="7683" width="14.5703125" style="17" customWidth="1"/>
    <col min="7684" max="7684" width="15.42578125" style="17" customWidth="1"/>
    <col min="7685" max="7685" width="15.140625" style="17" customWidth="1"/>
    <col min="7686" max="7686" width="16.7109375" style="17" customWidth="1"/>
    <col min="7687" max="7935" width="11.42578125" style="17"/>
    <col min="7936" max="7936" width="16.42578125" style="17" customWidth="1"/>
    <col min="7937" max="7937" width="20" style="17" customWidth="1"/>
    <col min="7938" max="7938" width="11.5703125" style="17" customWidth="1"/>
    <col min="7939" max="7939" width="14.5703125" style="17" customWidth="1"/>
    <col min="7940" max="7940" width="15.42578125" style="17" customWidth="1"/>
    <col min="7941" max="7941" width="15.140625" style="17" customWidth="1"/>
    <col min="7942" max="7942" width="16.7109375" style="17" customWidth="1"/>
    <col min="7943" max="8191" width="11.42578125" style="17"/>
    <col min="8192" max="8192" width="16.42578125" style="17" customWidth="1"/>
    <col min="8193" max="8193" width="20" style="17" customWidth="1"/>
    <col min="8194" max="8194" width="11.5703125" style="17" customWidth="1"/>
    <col min="8195" max="8195" width="14.5703125" style="17" customWidth="1"/>
    <col min="8196" max="8196" width="15.42578125" style="17" customWidth="1"/>
    <col min="8197" max="8197" width="15.140625" style="17" customWidth="1"/>
    <col min="8198" max="8198" width="16.7109375" style="17" customWidth="1"/>
    <col min="8199" max="8447" width="11.42578125" style="17"/>
    <col min="8448" max="8448" width="16.42578125" style="17" customWidth="1"/>
    <col min="8449" max="8449" width="20" style="17" customWidth="1"/>
    <col min="8450" max="8450" width="11.5703125" style="17" customWidth="1"/>
    <col min="8451" max="8451" width="14.5703125" style="17" customWidth="1"/>
    <col min="8452" max="8452" width="15.42578125" style="17" customWidth="1"/>
    <col min="8453" max="8453" width="15.140625" style="17" customWidth="1"/>
    <col min="8454" max="8454" width="16.7109375" style="17" customWidth="1"/>
    <col min="8455" max="8703" width="11.42578125" style="17"/>
    <col min="8704" max="8704" width="16.42578125" style="17" customWidth="1"/>
    <col min="8705" max="8705" width="20" style="17" customWidth="1"/>
    <col min="8706" max="8706" width="11.5703125" style="17" customWidth="1"/>
    <col min="8707" max="8707" width="14.5703125" style="17" customWidth="1"/>
    <col min="8708" max="8708" width="15.42578125" style="17" customWidth="1"/>
    <col min="8709" max="8709" width="15.140625" style="17" customWidth="1"/>
    <col min="8710" max="8710" width="16.7109375" style="17" customWidth="1"/>
    <col min="8711" max="8959" width="11.42578125" style="17"/>
    <col min="8960" max="8960" width="16.42578125" style="17" customWidth="1"/>
    <col min="8961" max="8961" width="20" style="17" customWidth="1"/>
    <col min="8962" max="8962" width="11.5703125" style="17" customWidth="1"/>
    <col min="8963" max="8963" width="14.5703125" style="17" customWidth="1"/>
    <col min="8964" max="8964" width="15.42578125" style="17" customWidth="1"/>
    <col min="8965" max="8965" width="15.140625" style="17" customWidth="1"/>
    <col min="8966" max="8966" width="16.7109375" style="17" customWidth="1"/>
    <col min="8967" max="9215" width="11.42578125" style="17"/>
    <col min="9216" max="9216" width="16.42578125" style="17" customWidth="1"/>
    <col min="9217" max="9217" width="20" style="17" customWidth="1"/>
    <col min="9218" max="9218" width="11.5703125" style="17" customWidth="1"/>
    <col min="9219" max="9219" width="14.5703125" style="17" customWidth="1"/>
    <col min="9220" max="9220" width="15.42578125" style="17" customWidth="1"/>
    <col min="9221" max="9221" width="15.140625" style="17" customWidth="1"/>
    <col min="9222" max="9222" width="16.7109375" style="17" customWidth="1"/>
    <col min="9223" max="9471" width="11.42578125" style="17"/>
    <col min="9472" max="9472" width="16.42578125" style="17" customWidth="1"/>
    <col min="9473" max="9473" width="20" style="17" customWidth="1"/>
    <col min="9474" max="9474" width="11.5703125" style="17" customWidth="1"/>
    <col min="9475" max="9475" width="14.5703125" style="17" customWidth="1"/>
    <col min="9476" max="9476" width="15.42578125" style="17" customWidth="1"/>
    <col min="9477" max="9477" width="15.140625" style="17" customWidth="1"/>
    <col min="9478" max="9478" width="16.7109375" style="17" customWidth="1"/>
    <col min="9479" max="9727" width="11.42578125" style="17"/>
    <col min="9728" max="9728" width="16.42578125" style="17" customWidth="1"/>
    <col min="9729" max="9729" width="20" style="17" customWidth="1"/>
    <col min="9730" max="9730" width="11.5703125" style="17" customWidth="1"/>
    <col min="9731" max="9731" width="14.5703125" style="17" customWidth="1"/>
    <col min="9732" max="9732" width="15.42578125" style="17" customWidth="1"/>
    <col min="9733" max="9733" width="15.140625" style="17" customWidth="1"/>
    <col min="9734" max="9734" width="16.7109375" style="17" customWidth="1"/>
    <col min="9735" max="9983" width="11.42578125" style="17"/>
    <col min="9984" max="9984" width="16.42578125" style="17" customWidth="1"/>
    <col min="9985" max="9985" width="20" style="17" customWidth="1"/>
    <col min="9986" max="9986" width="11.5703125" style="17" customWidth="1"/>
    <col min="9987" max="9987" width="14.5703125" style="17" customWidth="1"/>
    <col min="9988" max="9988" width="15.42578125" style="17" customWidth="1"/>
    <col min="9989" max="9989" width="15.140625" style="17" customWidth="1"/>
    <col min="9990" max="9990" width="16.7109375" style="17" customWidth="1"/>
    <col min="9991" max="10239" width="11.42578125" style="17"/>
    <col min="10240" max="10240" width="16.42578125" style="17" customWidth="1"/>
    <col min="10241" max="10241" width="20" style="17" customWidth="1"/>
    <col min="10242" max="10242" width="11.5703125" style="17" customWidth="1"/>
    <col min="10243" max="10243" width="14.5703125" style="17" customWidth="1"/>
    <col min="10244" max="10244" width="15.42578125" style="17" customWidth="1"/>
    <col min="10245" max="10245" width="15.140625" style="17" customWidth="1"/>
    <col min="10246" max="10246" width="16.7109375" style="17" customWidth="1"/>
    <col min="10247" max="10495" width="11.42578125" style="17"/>
    <col min="10496" max="10496" width="16.42578125" style="17" customWidth="1"/>
    <col min="10497" max="10497" width="20" style="17" customWidth="1"/>
    <col min="10498" max="10498" width="11.5703125" style="17" customWidth="1"/>
    <col min="10499" max="10499" width="14.5703125" style="17" customWidth="1"/>
    <col min="10500" max="10500" width="15.42578125" style="17" customWidth="1"/>
    <col min="10501" max="10501" width="15.140625" style="17" customWidth="1"/>
    <col min="10502" max="10502" width="16.7109375" style="17" customWidth="1"/>
    <col min="10503" max="10751" width="11.42578125" style="17"/>
    <col min="10752" max="10752" width="16.42578125" style="17" customWidth="1"/>
    <col min="10753" max="10753" width="20" style="17" customWidth="1"/>
    <col min="10754" max="10754" width="11.5703125" style="17" customWidth="1"/>
    <col min="10755" max="10755" width="14.5703125" style="17" customWidth="1"/>
    <col min="10756" max="10756" width="15.42578125" style="17" customWidth="1"/>
    <col min="10757" max="10757" width="15.140625" style="17" customWidth="1"/>
    <col min="10758" max="10758" width="16.7109375" style="17" customWidth="1"/>
    <col min="10759" max="11007" width="11.42578125" style="17"/>
    <col min="11008" max="11008" width="16.42578125" style="17" customWidth="1"/>
    <col min="11009" max="11009" width="20" style="17" customWidth="1"/>
    <col min="11010" max="11010" width="11.5703125" style="17" customWidth="1"/>
    <col min="11011" max="11011" width="14.5703125" style="17" customWidth="1"/>
    <col min="11012" max="11012" width="15.42578125" style="17" customWidth="1"/>
    <col min="11013" max="11013" width="15.140625" style="17" customWidth="1"/>
    <col min="11014" max="11014" width="16.7109375" style="17" customWidth="1"/>
    <col min="11015" max="11263" width="11.42578125" style="17"/>
    <col min="11264" max="11264" width="16.42578125" style="17" customWidth="1"/>
    <col min="11265" max="11265" width="20" style="17" customWidth="1"/>
    <col min="11266" max="11266" width="11.5703125" style="17" customWidth="1"/>
    <col min="11267" max="11267" width="14.5703125" style="17" customWidth="1"/>
    <col min="11268" max="11268" width="15.42578125" style="17" customWidth="1"/>
    <col min="11269" max="11269" width="15.140625" style="17" customWidth="1"/>
    <col min="11270" max="11270" width="16.7109375" style="17" customWidth="1"/>
    <col min="11271" max="11519" width="11.42578125" style="17"/>
    <col min="11520" max="11520" width="16.42578125" style="17" customWidth="1"/>
    <col min="11521" max="11521" width="20" style="17" customWidth="1"/>
    <col min="11522" max="11522" width="11.5703125" style="17" customWidth="1"/>
    <col min="11523" max="11523" width="14.5703125" style="17" customWidth="1"/>
    <col min="11524" max="11524" width="15.42578125" style="17" customWidth="1"/>
    <col min="11525" max="11525" width="15.140625" style="17" customWidth="1"/>
    <col min="11526" max="11526" width="16.7109375" style="17" customWidth="1"/>
    <col min="11527" max="11775" width="11.42578125" style="17"/>
    <col min="11776" max="11776" width="16.42578125" style="17" customWidth="1"/>
    <col min="11777" max="11777" width="20" style="17" customWidth="1"/>
    <col min="11778" max="11778" width="11.5703125" style="17" customWidth="1"/>
    <col min="11779" max="11779" width="14.5703125" style="17" customWidth="1"/>
    <col min="11780" max="11780" width="15.42578125" style="17" customWidth="1"/>
    <col min="11781" max="11781" width="15.140625" style="17" customWidth="1"/>
    <col min="11782" max="11782" width="16.7109375" style="17" customWidth="1"/>
    <col min="11783" max="12031" width="11.42578125" style="17"/>
    <col min="12032" max="12032" width="16.42578125" style="17" customWidth="1"/>
    <col min="12033" max="12033" width="20" style="17" customWidth="1"/>
    <col min="12034" max="12034" width="11.5703125" style="17" customWidth="1"/>
    <col min="12035" max="12035" width="14.5703125" style="17" customWidth="1"/>
    <col min="12036" max="12036" width="15.42578125" style="17" customWidth="1"/>
    <col min="12037" max="12037" width="15.140625" style="17" customWidth="1"/>
    <col min="12038" max="12038" width="16.7109375" style="17" customWidth="1"/>
    <col min="12039" max="12287" width="11.42578125" style="17"/>
    <col min="12288" max="12288" width="16.42578125" style="17" customWidth="1"/>
    <col min="12289" max="12289" width="20" style="17" customWidth="1"/>
    <col min="12290" max="12290" width="11.5703125" style="17" customWidth="1"/>
    <col min="12291" max="12291" width="14.5703125" style="17" customWidth="1"/>
    <col min="12292" max="12292" width="15.42578125" style="17" customWidth="1"/>
    <col min="12293" max="12293" width="15.140625" style="17" customWidth="1"/>
    <col min="12294" max="12294" width="16.7109375" style="17" customWidth="1"/>
    <col min="12295" max="12543" width="11.42578125" style="17"/>
    <col min="12544" max="12544" width="16.42578125" style="17" customWidth="1"/>
    <col min="12545" max="12545" width="20" style="17" customWidth="1"/>
    <col min="12546" max="12546" width="11.5703125" style="17" customWidth="1"/>
    <col min="12547" max="12547" width="14.5703125" style="17" customWidth="1"/>
    <col min="12548" max="12548" width="15.42578125" style="17" customWidth="1"/>
    <col min="12549" max="12549" width="15.140625" style="17" customWidth="1"/>
    <col min="12550" max="12550" width="16.7109375" style="17" customWidth="1"/>
    <col min="12551" max="12799" width="11.42578125" style="17"/>
    <col min="12800" max="12800" width="16.42578125" style="17" customWidth="1"/>
    <col min="12801" max="12801" width="20" style="17" customWidth="1"/>
    <col min="12802" max="12802" width="11.5703125" style="17" customWidth="1"/>
    <col min="12803" max="12803" width="14.5703125" style="17" customWidth="1"/>
    <col min="12804" max="12804" width="15.42578125" style="17" customWidth="1"/>
    <col min="12805" max="12805" width="15.140625" style="17" customWidth="1"/>
    <col min="12806" max="12806" width="16.7109375" style="17" customWidth="1"/>
    <col min="12807" max="13055" width="11.42578125" style="17"/>
    <col min="13056" max="13056" width="16.42578125" style="17" customWidth="1"/>
    <col min="13057" max="13057" width="20" style="17" customWidth="1"/>
    <col min="13058" max="13058" width="11.5703125" style="17" customWidth="1"/>
    <col min="13059" max="13059" width="14.5703125" style="17" customWidth="1"/>
    <col min="13060" max="13060" width="15.42578125" style="17" customWidth="1"/>
    <col min="13061" max="13061" width="15.140625" style="17" customWidth="1"/>
    <col min="13062" max="13062" width="16.7109375" style="17" customWidth="1"/>
    <col min="13063" max="13311" width="11.42578125" style="17"/>
    <col min="13312" max="13312" width="16.42578125" style="17" customWidth="1"/>
    <col min="13313" max="13313" width="20" style="17" customWidth="1"/>
    <col min="13314" max="13314" width="11.5703125" style="17" customWidth="1"/>
    <col min="13315" max="13315" width="14.5703125" style="17" customWidth="1"/>
    <col min="13316" max="13316" width="15.42578125" style="17" customWidth="1"/>
    <col min="13317" max="13317" width="15.140625" style="17" customWidth="1"/>
    <col min="13318" max="13318" width="16.7109375" style="17" customWidth="1"/>
    <col min="13319" max="13567" width="11.42578125" style="17"/>
    <col min="13568" max="13568" width="16.42578125" style="17" customWidth="1"/>
    <col min="13569" max="13569" width="20" style="17" customWidth="1"/>
    <col min="13570" max="13570" width="11.5703125" style="17" customWidth="1"/>
    <col min="13571" max="13571" width="14.5703125" style="17" customWidth="1"/>
    <col min="13572" max="13572" width="15.42578125" style="17" customWidth="1"/>
    <col min="13573" max="13573" width="15.140625" style="17" customWidth="1"/>
    <col min="13574" max="13574" width="16.7109375" style="17" customWidth="1"/>
    <col min="13575" max="13823" width="11.42578125" style="17"/>
    <col min="13824" max="13824" width="16.42578125" style="17" customWidth="1"/>
    <col min="13825" max="13825" width="20" style="17" customWidth="1"/>
    <col min="13826" max="13826" width="11.5703125" style="17" customWidth="1"/>
    <col min="13827" max="13827" width="14.5703125" style="17" customWidth="1"/>
    <col min="13828" max="13828" width="15.42578125" style="17" customWidth="1"/>
    <col min="13829" max="13829" width="15.140625" style="17" customWidth="1"/>
    <col min="13830" max="13830" width="16.7109375" style="17" customWidth="1"/>
    <col min="13831" max="14079" width="11.42578125" style="17"/>
    <col min="14080" max="14080" width="16.42578125" style="17" customWidth="1"/>
    <col min="14081" max="14081" width="20" style="17" customWidth="1"/>
    <col min="14082" max="14082" width="11.5703125" style="17" customWidth="1"/>
    <col min="14083" max="14083" width="14.5703125" style="17" customWidth="1"/>
    <col min="14084" max="14084" width="15.42578125" style="17" customWidth="1"/>
    <col min="14085" max="14085" width="15.140625" style="17" customWidth="1"/>
    <col min="14086" max="14086" width="16.7109375" style="17" customWidth="1"/>
    <col min="14087" max="14335" width="11.42578125" style="17"/>
    <col min="14336" max="14336" width="16.42578125" style="17" customWidth="1"/>
    <col min="14337" max="14337" width="20" style="17" customWidth="1"/>
    <col min="14338" max="14338" width="11.5703125" style="17" customWidth="1"/>
    <col min="14339" max="14339" width="14.5703125" style="17" customWidth="1"/>
    <col min="14340" max="14340" width="15.42578125" style="17" customWidth="1"/>
    <col min="14341" max="14341" width="15.140625" style="17" customWidth="1"/>
    <col min="14342" max="14342" width="16.7109375" style="17" customWidth="1"/>
    <col min="14343" max="14591" width="11.42578125" style="17"/>
    <col min="14592" max="14592" width="16.42578125" style="17" customWidth="1"/>
    <col min="14593" max="14593" width="20" style="17" customWidth="1"/>
    <col min="14594" max="14594" width="11.5703125" style="17" customWidth="1"/>
    <col min="14595" max="14595" width="14.5703125" style="17" customWidth="1"/>
    <col min="14596" max="14596" width="15.42578125" style="17" customWidth="1"/>
    <col min="14597" max="14597" width="15.140625" style="17" customWidth="1"/>
    <col min="14598" max="14598" width="16.7109375" style="17" customWidth="1"/>
    <col min="14599" max="14847" width="11.42578125" style="17"/>
    <col min="14848" max="14848" width="16.42578125" style="17" customWidth="1"/>
    <col min="14849" max="14849" width="20" style="17" customWidth="1"/>
    <col min="14850" max="14850" width="11.5703125" style="17" customWidth="1"/>
    <col min="14851" max="14851" width="14.5703125" style="17" customWidth="1"/>
    <col min="14852" max="14852" width="15.42578125" style="17" customWidth="1"/>
    <col min="14853" max="14853" width="15.140625" style="17" customWidth="1"/>
    <col min="14854" max="14854" width="16.7109375" style="17" customWidth="1"/>
    <col min="14855" max="15103" width="11.42578125" style="17"/>
    <col min="15104" max="15104" width="16.42578125" style="17" customWidth="1"/>
    <col min="15105" max="15105" width="20" style="17" customWidth="1"/>
    <col min="15106" max="15106" width="11.5703125" style="17" customWidth="1"/>
    <col min="15107" max="15107" width="14.5703125" style="17" customWidth="1"/>
    <col min="15108" max="15108" width="15.42578125" style="17" customWidth="1"/>
    <col min="15109" max="15109" width="15.140625" style="17" customWidth="1"/>
    <col min="15110" max="15110" width="16.7109375" style="17" customWidth="1"/>
    <col min="15111" max="15359" width="11.42578125" style="17"/>
    <col min="15360" max="15360" width="16.42578125" style="17" customWidth="1"/>
    <col min="15361" max="15361" width="20" style="17" customWidth="1"/>
    <col min="15362" max="15362" width="11.5703125" style="17" customWidth="1"/>
    <col min="15363" max="15363" width="14.5703125" style="17" customWidth="1"/>
    <col min="15364" max="15364" width="15.42578125" style="17" customWidth="1"/>
    <col min="15365" max="15365" width="15.140625" style="17" customWidth="1"/>
    <col min="15366" max="15366" width="16.7109375" style="17" customWidth="1"/>
    <col min="15367" max="15615" width="11.42578125" style="17"/>
    <col min="15616" max="15616" width="16.42578125" style="17" customWidth="1"/>
    <col min="15617" max="15617" width="20" style="17" customWidth="1"/>
    <col min="15618" max="15618" width="11.5703125" style="17" customWidth="1"/>
    <col min="15619" max="15619" width="14.5703125" style="17" customWidth="1"/>
    <col min="15620" max="15620" width="15.42578125" style="17" customWidth="1"/>
    <col min="15621" max="15621" width="15.140625" style="17" customWidth="1"/>
    <col min="15622" max="15622" width="16.7109375" style="17" customWidth="1"/>
    <col min="15623" max="15871" width="11.42578125" style="17"/>
    <col min="15872" max="15872" width="16.42578125" style="17" customWidth="1"/>
    <col min="15873" max="15873" width="20" style="17" customWidth="1"/>
    <col min="15874" max="15874" width="11.5703125" style="17" customWidth="1"/>
    <col min="15875" max="15875" width="14.5703125" style="17" customWidth="1"/>
    <col min="15876" max="15876" width="15.42578125" style="17" customWidth="1"/>
    <col min="15877" max="15877" width="15.140625" style="17" customWidth="1"/>
    <col min="15878" max="15878" width="16.7109375" style="17" customWidth="1"/>
    <col min="15879" max="16127" width="11.42578125" style="17"/>
    <col min="16128" max="16128" width="16.42578125" style="17" customWidth="1"/>
    <col min="16129" max="16129" width="20" style="17" customWidth="1"/>
    <col min="16130" max="16130" width="11.5703125" style="17" customWidth="1"/>
    <col min="16131" max="16131" width="14.5703125" style="17" customWidth="1"/>
    <col min="16132" max="16132" width="15.42578125" style="17" customWidth="1"/>
    <col min="16133" max="16133" width="15.140625" style="17" customWidth="1"/>
    <col min="16134" max="16134" width="16.7109375" style="17" customWidth="1"/>
    <col min="16135" max="16383" width="11.42578125" style="17"/>
    <col min="16384" max="16384" width="11.42578125" style="17" customWidth="1"/>
  </cols>
  <sheetData>
    <row r="2" spans="1:10">
      <c r="A2" s="35" t="s">
        <v>150</v>
      </c>
    </row>
    <row r="3" spans="1:10" ht="14.45">
      <c r="B3" s="340" t="s">
        <v>151</v>
      </c>
      <c r="C3" s="340"/>
      <c r="D3" s="340"/>
      <c r="E3" s="340"/>
      <c r="F3" s="340"/>
      <c r="G3" s="340"/>
    </row>
    <row r="4" spans="1:10" ht="14.45">
      <c r="A4" s="36"/>
      <c r="B4" s="340" t="str">
        <f>+'LUXIMIA '!A11</f>
        <v>02. DEL 16-31 ENERO 2025</v>
      </c>
      <c r="C4" s="340"/>
      <c r="D4" s="340"/>
      <c r="E4" s="340"/>
      <c r="F4" s="340"/>
      <c r="G4" s="340"/>
    </row>
    <row r="6" spans="1:10" ht="14.45">
      <c r="A6" s="36"/>
      <c r="B6" s="46" t="s">
        <v>136</v>
      </c>
      <c r="C6" s="46" t="s">
        <v>137</v>
      </c>
      <c r="D6" s="38">
        <v>0.03</v>
      </c>
      <c r="E6" s="37" t="s">
        <v>138</v>
      </c>
      <c r="F6" s="37" t="s">
        <v>30</v>
      </c>
      <c r="G6" s="37" t="s">
        <v>139</v>
      </c>
    </row>
    <row r="7" spans="1:10" ht="14.45">
      <c r="A7" s="39" t="s">
        <v>152</v>
      </c>
      <c r="B7" s="40">
        <f>+'LUXIMIA '!L43</f>
        <v>258504.96000000005</v>
      </c>
      <c r="C7" s="40">
        <f>+'LUXIMIA '!V43</f>
        <v>80704.178400000048</v>
      </c>
      <c r="D7" s="41">
        <f>+(B7+C7)*$D$6</f>
        <v>10176.274152000004</v>
      </c>
      <c r="E7" s="41">
        <f>+B7+D7+C7</f>
        <v>349385.41255200008</v>
      </c>
      <c r="F7" s="41">
        <f>E7*16%</f>
        <v>55901.666008320011</v>
      </c>
      <c r="G7" s="285">
        <f>E7+F7</f>
        <v>405287.07856032008</v>
      </c>
      <c r="H7" s="42"/>
    </row>
    <row r="8" spans="1:10" ht="14.45">
      <c r="A8" s="39" t="s">
        <v>99</v>
      </c>
      <c r="B8" s="144">
        <v>0</v>
      </c>
      <c r="C8" s="144">
        <v>0</v>
      </c>
      <c r="D8" s="41">
        <f t="shared" ref="D8:D9" si="0">+(B8+C8)*$D$6</f>
        <v>0</v>
      </c>
      <c r="E8" s="41">
        <f>+B8+D8+C8</f>
        <v>0</v>
      </c>
      <c r="F8" s="41">
        <f>E8*16%</f>
        <v>0</v>
      </c>
      <c r="G8" s="41">
        <f>E8+F8</f>
        <v>0</v>
      </c>
      <c r="H8" s="42"/>
    </row>
    <row r="9" spans="1:10" ht="14.45">
      <c r="A9" s="43" t="s">
        <v>134</v>
      </c>
      <c r="B9" s="157">
        <f>SHARK!N22</f>
        <v>67708.960000000006</v>
      </c>
      <c r="C9" s="157">
        <f>+SHARK!X22-RESUMEN!C8</f>
        <v>21217.488400000002</v>
      </c>
      <c r="D9" s="41">
        <f t="shared" si="0"/>
        <v>2667.7934520000003</v>
      </c>
      <c r="E9" s="158">
        <f>+B9+D9+C9</f>
        <v>91594.241852000006</v>
      </c>
      <c r="F9" s="158">
        <f>E9*16%</f>
        <v>14655.078696320001</v>
      </c>
      <c r="G9" s="286">
        <f>E9+F9</f>
        <v>106249.32054832001</v>
      </c>
      <c r="H9" s="42"/>
    </row>
    <row r="10" spans="1:10" ht="14.45">
      <c r="A10" s="43" t="s">
        <v>145</v>
      </c>
      <c r="B10" s="229">
        <f>PETREOS!L16</f>
        <v>18420.82</v>
      </c>
      <c r="C10" s="229">
        <f>PETREOS!U16</f>
        <v>5418.5627999999997</v>
      </c>
      <c r="D10" s="230">
        <f>+(B10+C10)*$D$6</f>
        <v>715.18148399999995</v>
      </c>
      <c r="E10" s="230">
        <f>+B10+D10+C10</f>
        <v>24554.564284</v>
      </c>
      <c r="F10" s="230">
        <f>E10*16%</f>
        <v>3928.73028544</v>
      </c>
      <c r="G10" s="287">
        <f>E10+F10</f>
        <v>28483.29456944</v>
      </c>
      <c r="H10" s="42"/>
    </row>
    <row r="11" spans="1:10" ht="14.45">
      <c r="A11" s="36"/>
      <c r="B11" s="44">
        <f t="shared" ref="B11:G11" si="1">SUM(B7:B10)</f>
        <v>344634.74000000005</v>
      </c>
      <c r="C11" s="44">
        <f t="shared" si="1"/>
        <v>107340.22960000005</v>
      </c>
      <c r="D11" s="44">
        <f t="shared" si="1"/>
        <v>13559.249088000004</v>
      </c>
      <c r="E11" s="44">
        <f t="shared" si="1"/>
        <v>465534.21868800011</v>
      </c>
      <c r="F11" s="44">
        <f t="shared" si="1"/>
        <v>74485.474990080009</v>
      </c>
      <c r="G11" s="44">
        <f t="shared" si="1"/>
        <v>540019.6936780801</v>
      </c>
      <c r="H11" s="44"/>
    </row>
    <row r="12" spans="1:10" ht="15" thickBot="1">
      <c r="A12" s="36"/>
      <c r="B12" s="36"/>
      <c r="C12" s="36"/>
      <c r="D12" s="44" t="s">
        <v>124</v>
      </c>
      <c r="E12" s="36"/>
      <c r="F12" s="36"/>
      <c r="G12" s="44" t="s">
        <v>124</v>
      </c>
    </row>
    <row r="13" spans="1:10" ht="15" thickBot="1">
      <c r="A13" s="36"/>
      <c r="B13" s="36"/>
      <c r="C13" s="36"/>
      <c r="D13" s="44" t="s">
        <v>124</v>
      </c>
      <c r="E13" s="44"/>
      <c r="F13" s="55" t="s">
        <v>153</v>
      </c>
      <c r="G13" s="56">
        <f>G11</f>
        <v>540019.6936780801</v>
      </c>
    </row>
    <row r="14" spans="1:10">
      <c r="G14" s="45"/>
    </row>
    <row r="15" spans="1:10">
      <c r="D15" s="45"/>
      <c r="E15" s="45"/>
      <c r="F15" s="45"/>
      <c r="G15" s="45"/>
      <c r="H15" s="45"/>
      <c r="I15" s="45"/>
      <c r="J15" s="45"/>
    </row>
    <row r="16" spans="1:10">
      <c r="G16" s="45"/>
    </row>
    <row r="17" spans="1:7">
      <c r="G17" s="45"/>
    </row>
    <row r="18" spans="1:7">
      <c r="A18" s="339" t="s">
        <v>154</v>
      </c>
      <c r="B18" s="339"/>
      <c r="F18" s="45"/>
      <c r="G18" s="45"/>
    </row>
    <row r="19" spans="1:7">
      <c r="A19" s="52" t="s">
        <v>155</v>
      </c>
      <c r="B19" s="54">
        <f>+B7+B8+B9+B10</f>
        <v>344634.74000000005</v>
      </c>
    </row>
    <row r="20" spans="1:7">
      <c r="A20" s="52" t="s">
        <v>156</v>
      </c>
      <c r="B20" s="54"/>
      <c r="F20" s="45"/>
    </row>
    <row r="21" spans="1:7" ht="26.45">
      <c r="A21" s="53" t="s">
        <v>157</v>
      </c>
      <c r="B21" s="54">
        <f>+C7+C9+C8+C10</f>
        <v>107340.22960000005</v>
      </c>
      <c r="F21" s="42"/>
      <c r="G21" s="45"/>
    </row>
    <row r="22" spans="1:7">
      <c r="A22" s="52" t="s">
        <v>28</v>
      </c>
      <c r="B22" s="54">
        <f>(+B19+B21+B20)*3%</f>
        <v>13559.249088000002</v>
      </c>
    </row>
    <row r="23" spans="1:7">
      <c r="A23" s="52" t="s">
        <v>158</v>
      </c>
      <c r="B23" s="54">
        <f>+B19+B21+B22+B20</f>
        <v>465534.21868800005</v>
      </c>
      <c r="F23" s="45"/>
    </row>
    <row r="24" spans="1:7">
      <c r="A24" s="52" t="s">
        <v>30</v>
      </c>
      <c r="B24" s="54">
        <f>+B23*16%</f>
        <v>74485.474990080009</v>
      </c>
    </row>
    <row r="25" spans="1:7">
      <c r="A25" s="52" t="s">
        <v>159</v>
      </c>
      <c r="B25" s="54">
        <f>+B8</f>
        <v>0</v>
      </c>
    </row>
    <row r="26" spans="1:7">
      <c r="A26" s="52"/>
      <c r="B26" s="54"/>
    </row>
    <row r="27" spans="1:7">
      <c r="A27" s="52" t="s">
        <v>26</v>
      </c>
      <c r="B27" s="155">
        <f>+B23+B24</f>
        <v>540019.6936780801</v>
      </c>
      <c r="C27" s="45"/>
    </row>
    <row r="28" spans="1:7">
      <c r="A28" s="45" t="s">
        <v>31</v>
      </c>
      <c r="B28" s="154">
        <f>+B27-B26</f>
        <v>540019.6936780801</v>
      </c>
    </row>
    <row r="29" spans="1:7">
      <c r="B29" s="42"/>
      <c r="C29" s="57"/>
    </row>
    <row r="30" spans="1:7">
      <c r="B30" s="45"/>
      <c r="C30" s="45"/>
    </row>
    <row r="31" spans="1:7">
      <c r="B31" s="45"/>
      <c r="C31" s="45"/>
      <c r="D31" s="45"/>
    </row>
  </sheetData>
  <mergeCells count="3">
    <mergeCell ref="A18:B18"/>
    <mergeCell ref="B3:G3"/>
    <mergeCell ref="B4:G4"/>
  </mergeCells>
  <pageMargins left="0.70866141732283472" right="0.70866141732283472" top="0.74803149606299213" bottom="0.74803149606299213" header="0.31496062992125984" footer="0.31496062992125984"/>
  <pageSetup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075D5-538F-4EDC-BF5B-AFED4E27A0DA}">
  <dimension ref="B1:AW52"/>
  <sheetViews>
    <sheetView showGridLines="0" zoomScale="70" zoomScaleNormal="70" workbookViewId="0">
      <pane xSplit="8" ySplit="7" topLeftCell="X13" activePane="bottomRight" state="frozen"/>
      <selection pane="bottomRight" activeCell="C21" sqref="C21"/>
      <selection pane="bottomLeft" activeCell="C21" sqref="C21"/>
      <selection pane="topRight" activeCell="C21" sqref="C21"/>
    </sheetView>
  </sheetViews>
  <sheetFormatPr defaultColWidth="11.42578125" defaultRowHeight="15"/>
  <cols>
    <col min="1" max="1" width="11.42578125" style="177"/>
    <col min="2" max="2" width="17.28515625" style="177" bestFit="1" customWidth="1"/>
    <col min="3" max="3" width="22.42578125" style="177" bestFit="1" customWidth="1"/>
    <col min="4" max="4" width="28.42578125" style="177" customWidth="1"/>
    <col min="5" max="5" width="27" style="177" bestFit="1" customWidth="1"/>
    <col min="6" max="6" width="30.5703125" style="177" bestFit="1" customWidth="1"/>
    <col min="7" max="7" width="12.85546875" style="178" bestFit="1" customWidth="1"/>
    <col min="8" max="8" width="12.85546875" style="177" bestFit="1" customWidth="1"/>
    <col min="9" max="9" width="9.7109375" style="177" bestFit="1" customWidth="1"/>
    <col min="10" max="10" width="12.5703125" style="177" bestFit="1" customWidth="1"/>
    <col min="11" max="11" width="12.42578125" style="177" bestFit="1" customWidth="1"/>
    <col min="12" max="12" width="11.140625" style="177" bestFit="1" customWidth="1"/>
    <col min="13" max="13" width="11" style="177" bestFit="1" customWidth="1"/>
    <col min="14" max="14" width="11.7109375" style="177" bestFit="1" customWidth="1"/>
    <col min="15" max="15" width="13.140625" style="177" bestFit="1" customWidth="1"/>
    <col min="16" max="16" width="11" style="177" bestFit="1" customWidth="1"/>
    <col min="17" max="17" width="10.5703125" style="177" bestFit="1" customWidth="1"/>
    <col min="18" max="18" width="10.28515625" style="177" bestFit="1" customWidth="1"/>
    <col min="19" max="19" width="8.5703125" style="177" bestFit="1" customWidth="1"/>
    <col min="20" max="20" width="9.7109375" style="177" bestFit="1" customWidth="1"/>
    <col min="21" max="21" width="11.5703125" style="177" bestFit="1" customWidth="1"/>
    <col min="22" max="22" width="16.42578125" style="177" bestFit="1" customWidth="1"/>
    <col min="23" max="23" width="13.5703125" style="177" bestFit="1" customWidth="1"/>
    <col min="24" max="24" width="14" style="177" bestFit="1" customWidth="1"/>
    <col min="25" max="25" width="16.85546875" style="177" customWidth="1"/>
    <col min="26" max="26" width="10.5703125" style="177" bestFit="1" customWidth="1"/>
    <col min="27" max="27" width="12.42578125" style="177" bestFit="1" customWidth="1"/>
    <col min="28" max="28" width="20.85546875" style="177" customWidth="1"/>
    <col min="29" max="29" width="13.28515625" style="177" bestFit="1" customWidth="1"/>
    <col min="30" max="30" width="11.5703125" style="177" bestFit="1" customWidth="1"/>
    <col min="31" max="31" width="13.5703125" style="177" bestFit="1" customWidth="1"/>
    <col min="32" max="32" width="9.7109375" style="99" bestFit="1" customWidth="1"/>
    <col min="33" max="33" width="12.85546875" style="177" bestFit="1" customWidth="1"/>
    <col min="34" max="34" width="11.42578125" style="99"/>
    <col min="35" max="36" width="12.85546875" style="177" bestFit="1" customWidth="1"/>
    <col min="37" max="37" width="12.85546875" style="99" bestFit="1" customWidth="1"/>
    <col min="38" max="38" width="9.7109375" style="99" bestFit="1" customWidth="1"/>
    <col min="39" max="39" width="11.42578125" style="99"/>
    <col min="40" max="40" width="9.7109375" style="99" bestFit="1" customWidth="1"/>
    <col min="41" max="41" width="11.42578125" style="99"/>
    <col min="42" max="42" width="11" style="182" bestFit="1" customWidth="1"/>
    <col min="43" max="43" width="14.42578125" style="182" bestFit="1" customWidth="1"/>
    <col min="44" max="44" width="7.7109375" style="99" bestFit="1" customWidth="1"/>
    <col min="45" max="45" width="11.42578125" style="99"/>
    <col min="46" max="46" width="11.42578125" style="177"/>
    <col min="47" max="47" width="11.5703125" style="177" bestFit="1" customWidth="1"/>
    <col min="48" max="48" width="13.42578125" style="177" bestFit="1" customWidth="1"/>
    <col min="49" max="49" width="7.7109375" style="177" bestFit="1" customWidth="1"/>
    <col min="50" max="16384" width="11.42578125" style="177"/>
  </cols>
  <sheetData>
    <row r="1" spans="2:49" ht="15.6">
      <c r="K1" s="179" t="s">
        <v>160</v>
      </c>
      <c r="L1" s="180">
        <v>103.74</v>
      </c>
      <c r="M1" s="181"/>
      <c r="O1" s="177">
        <f>+L1*25</f>
        <v>2593.5</v>
      </c>
      <c r="P1" s="177">
        <f>+O1/1.0493</f>
        <v>2471.6477651767846</v>
      </c>
    </row>
    <row r="2" spans="2:49" ht="22.9">
      <c r="B2" s="183" t="s">
        <v>161</v>
      </c>
      <c r="C2" s="184"/>
      <c r="D2" s="184"/>
      <c r="E2" s="184"/>
      <c r="H2" s="177">
        <v>1.0492999999999999</v>
      </c>
      <c r="K2" s="179" t="s">
        <v>162</v>
      </c>
      <c r="L2" s="179">
        <f>+L1*3</f>
        <v>311.21999999999997</v>
      </c>
      <c r="AL2" s="185"/>
      <c r="AM2" s="186"/>
    </row>
    <row r="3" spans="2:49" ht="15.6">
      <c r="B3" s="187"/>
      <c r="C3" s="187"/>
      <c r="J3" s="341" t="s">
        <v>163</v>
      </c>
      <c r="K3" s="341"/>
      <c r="AL3" s="189"/>
    </row>
    <row r="4" spans="2:49" ht="15.6">
      <c r="B4" s="187"/>
      <c r="C4" s="187"/>
      <c r="J4" s="188"/>
      <c r="K4" s="188"/>
      <c r="AL4" s="189"/>
    </row>
    <row r="5" spans="2:49" ht="16.149999999999999" thickBot="1">
      <c r="B5" s="187"/>
      <c r="C5" s="187"/>
      <c r="J5" s="188"/>
      <c r="K5" s="188"/>
      <c r="AL5" s="189"/>
    </row>
    <row r="6" spans="2:49" s="194" customFormat="1" ht="16.149999999999999" thickBot="1">
      <c r="B6" s="187"/>
      <c r="C6" s="187"/>
      <c r="D6" s="179"/>
      <c r="E6" s="179"/>
      <c r="F6" s="179"/>
      <c r="G6" s="190"/>
      <c r="H6" s="179"/>
      <c r="I6" s="191">
        <v>20.399999999999999</v>
      </c>
      <c r="J6" s="191">
        <v>0.4</v>
      </c>
      <c r="K6" s="191">
        <v>1.1000000000000001</v>
      </c>
      <c r="L6" s="191">
        <v>0.25</v>
      </c>
      <c r="M6" s="191">
        <v>0.7</v>
      </c>
      <c r="N6" s="191">
        <v>0.375</v>
      </c>
      <c r="O6" s="191">
        <v>1.05</v>
      </c>
      <c r="P6" s="192"/>
      <c r="Q6" s="191">
        <v>0.625</v>
      </c>
      <c r="R6" s="191">
        <v>1.75</v>
      </c>
      <c r="S6" s="191">
        <v>1</v>
      </c>
      <c r="T6" s="191">
        <v>2</v>
      </c>
      <c r="U6" s="191">
        <v>1.125</v>
      </c>
      <c r="V6" s="193"/>
      <c r="W6" s="193"/>
      <c r="X6" s="191">
        <v>5</v>
      </c>
      <c r="Z6" s="342" t="s">
        <v>164</v>
      </c>
      <c r="AA6" s="342"/>
      <c r="AB6" s="195"/>
      <c r="AC6" s="179" t="s">
        <v>165</v>
      </c>
      <c r="AD6" s="179"/>
      <c r="AE6" s="179"/>
      <c r="AL6" s="196"/>
      <c r="AP6" s="197"/>
      <c r="AQ6" s="198"/>
    </row>
    <row r="7" spans="2:49" s="202" customFormat="1" ht="138.75" customHeight="1" thickBot="1">
      <c r="B7" s="191" t="s">
        <v>166</v>
      </c>
      <c r="C7" s="191" t="s">
        <v>167</v>
      </c>
      <c r="D7" s="191" t="s">
        <v>168</v>
      </c>
      <c r="E7" s="191" t="s">
        <v>169</v>
      </c>
      <c r="F7" s="191" t="s">
        <v>170</v>
      </c>
      <c r="G7" s="191" t="s">
        <v>171</v>
      </c>
      <c r="H7" s="191" t="s">
        <v>172</v>
      </c>
      <c r="I7" s="191" t="s">
        <v>173</v>
      </c>
      <c r="J7" s="191" t="s">
        <v>174</v>
      </c>
      <c r="K7" s="191" t="s">
        <v>175</v>
      </c>
      <c r="L7" s="191" t="s">
        <v>176</v>
      </c>
      <c r="M7" s="191" t="s">
        <v>177</v>
      </c>
      <c r="N7" s="191" t="s">
        <v>178</v>
      </c>
      <c r="O7" s="191" t="s">
        <v>179</v>
      </c>
      <c r="P7" s="191" t="s">
        <v>180</v>
      </c>
      <c r="Q7" s="191" t="s">
        <v>181</v>
      </c>
      <c r="R7" s="191" t="s">
        <v>182</v>
      </c>
      <c r="S7" s="191" t="s">
        <v>183</v>
      </c>
      <c r="T7" s="191" t="s">
        <v>184</v>
      </c>
      <c r="U7" s="191" t="s">
        <v>185</v>
      </c>
      <c r="V7" s="191" t="s">
        <v>186</v>
      </c>
      <c r="W7" s="191" t="s">
        <v>187</v>
      </c>
      <c r="X7" s="191" t="s">
        <v>21</v>
      </c>
      <c r="Y7" s="199"/>
      <c r="Z7" s="191" t="s">
        <v>188</v>
      </c>
      <c r="AA7" s="191" t="s">
        <v>189</v>
      </c>
      <c r="AB7" s="200" t="s">
        <v>190</v>
      </c>
      <c r="AC7" s="201" t="s">
        <v>191</v>
      </c>
      <c r="AD7" s="191" t="s">
        <v>189</v>
      </c>
      <c r="AE7" s="191" t="s">
        <v>192</v>
      </c>
      <c r="AF7" s="199"/>
      <c r="AG7" s="191" t="s">
        <v>193</v>
      </c>
      <c r="AI7" s="191" t="s">
        <v>194</v>
      </c>
      <c r="AJ7" s="191" t="s">
        <v>191</v>
      </c>
      <c r="AK7" s="191" t="s">
        <v>21</v>
      </c>
      <c r="AP7" s="343" t="s">
        <v>195</v>
      </c>
      <c r="AQ7" s="344"/>
      <c r="AR7" s="345"/>
      <c r="AU7" s="343" t="s">
        <v>196</v>
      </c>
      <c r="AV7" s="344"/>
      <c r="AW7" s="345"/>
    </row>
    <row r="8" spans="2:49" ht="15.6">
      <c r="B8" s="203"/>
      <c r="C8" s="203"/>
      <c r="D8" s="204"/>
      <c r="E8" s="204"/>
      <c r="F8" s="204">
        <v>15</v>
      </c>
      <c r="G8" s="178">
        <v>1037.2</v>
      </c>
      <c r="H8" s="205">
        <f>+G8*$H$2</f>
        <v>1088.3339599999999</v>
      </c>
      <c r="I8" s="205">
        <f t="shared" ref="I8:I52" si="0">ROUND((($F8)*$L$1*($I$6/100)),2)</f>
        <v>317.44</v>
      </c>
      <c r="J8" s="205">
        <f t="shared" ref="J8:J52" si="1">ROUND(IF($H8&lt;$L$2,0,(($F8)*($H8-$L$2))*($J$6/100)),2)</f>
        <v>46.63</v>
      </c>
      <c r="K8" s="205">
        <f t="shared" ref="K8:K52" si="2">ROUND(IF($H8&lt;$L$2,0,(($F8)*($H8-$L$2))*($K$6/100)),2)</f>
        <v>128.22</v>
      </c>
      <c r="L8" s="205">
        <f t="shared" ref="L8:L52" si="3">ROUND(($H8*($F8)*($L$6/100)),2)</f>
        <v>40.81</v>
      </c>
      <c r="M8" s="205">
        <f t="shared" ref="M8:M52" si="4">ROUND(($H8*($F8)*($M$6/100)),2)</f>
        <v>114.28</v>
      </c>
      <c r="N8" s="205">
        <f t="shared" ref="N8:N52" si="5">ROUND(($H8*($F8)*($N$6/100)),2)</f>
        <v>61.22</v>
      </c>
      <c r="O8" s="205">
        <f t="shared" ref="O8:O52" si="6">ROUND(($H8*($F8)*($O$6/100)),2)</f>
        <v>171.41</v>
      </c>
      <c r="P8" s="206">
        <f t="shared" ref="P8:P52" si="7">ROUND(($H8*($F8)*($AG8)),2)</f>
        <v>81.63</v>
      </c>
      <c r="Q8" s="205">
        <f t="shared" ref="Q8:Q52" si="8">$H8*($F8)*($Q$6/100)</f>
        <v>102.03130874999999</v>
      </c>
      <c r="R8" s="205">
        <f t="shared" ref="R8:R52" si="9">$H8*($F8)*($R$6/100)</f>
        <v>285.68766449999998</v>
      </c>
      <c r="S8" s="205">
        <f t="shared" ref="S8:S52" si="10">ROUND(($H8*(F8)*($S$6/100)),2)</f>
        <v>163.25</v>
      </c>
      <c r="T8" s="205">
        <f t="shared" ref="T8:T52" si="11">ROUND(($H8*($F8)*($T$6/100)),2)</f>
        <v>326.5</v>
      </c>
      <c r="U8" s="205">
        <f t="shared" ref="U8:U52" si="12">ROUND(($H8*($F8)*($U$6/100)),2)</f>
        <v>183.66</v>
      </c>
      <c r="V8" s="207">
        <f>+IFERROR(LOOKUP($G8,$AU$8:$AW$15,$AW$8:$AW$15),0)</f>
        <v>4.2409999999999997</v>
      </c>
      <c r="W8" s="205">
        <f>ROUND(($H8*($F8)*($V$8/100)),2)</f>
        <v>692.34</v>
      </c>
      <c r="X8" s="205">
        <f t="shared" ref="X8:X52" si="13">ROUND(($H8*($F8)*($X$6/100)),2)</f>
        <v>816.25</v>
      </c>
      <c r="Y8" s="205"/>
      <c r="Z8" s="205">
        <f>+I8+K8+M8+O8+P8+R8+S8</f>
        <v>1261.9176644999998</v>
      </c>
      <c r="AA8" s="205">
        <f t="shared" ref="AA8:AA52" si="14">+J8+L8+N8+Q8</f>
        <v>250.69130874999999</v>
      </c>
      <c r="AB8" s="208">
        <f t="shared" ref="AB8:AB52" si="15">+U8+AA8</f>
        <v>434.35130874999999</v>
      </c>
      <c r="AC8" s="205">
        <f>+W8+T8+U8</f>
        <v>1202.5</v>
      </c>
      <c r="AD8" s="205">
        <f>+X8</f>
        <v>816.25</v>
      </c>
      <c r="AE8" s="208">
        <f>+SUM(Z8:AD8)-AB8-AA8</f>
        <v>3280.6676644999998</v>
      </c>
      <c r="AF8" s="209"/>
      <c r="AG8" s="210">
        <v>5.0000000000000001E-3</v>
      </c>
      <c r="AI8" s="178">
        <f>+Z8</f>
        <v>1261.9176644999998</v>
      </c>
      <c r="AJ8" s="178">
        <f>+W8+T8</f>
        <v>1018.84</v>
      </c>
      <c r="AK8" s="211">
        <f>+X8</f>
        <v>816.25</v>
      </c>
      <c r="AL8" s="209">
        <f t="shared" ref="AL8:AL52" si="16">+AI8+AJ8+AK8-AE8</f>
        <v>-183.65999999999985</v>
      </c>
      <c r="AM8" s="99">
        <v>457.06</v>
      </c>
      <c r="AN8" s="212">
        <f>+AI8+AJ8+AK8-AM8</f>
        <v>2639.9476645</v>
      </c>
      <c r="AP8" s="182">
        <v>207.44</v>
      </c>
      <c r="AQ8" s="182">
        <v>209.49</v>
      </c>
      <c r="AR8" s="213">
        <v>3.15</v>
      </c>
      <c r="AU8" s="177">
        <v>96.22</v>
      </c>
      <c r="AV8" s="177">
        <v>97.172199999999989</v>
      </c>
      <c r="AW8" s="177">
        <v>3.15</v>
      </c>
    </row>
    <row r="9" spans="2:49" ht="15.6">
      <c r="B9" s="203"/>
      <c r="E9" s="204"/>
      <c r="F9" s="204">
        <v>15</v>
      </c>
      <c r="G9" s="178">
        <v>414.88</v>
      </c>
      <c r="H9" s="205">
        <f t="shared" ref="H9:H32" si="17">+G9*$H$2</f>
        <v>435.33358399999997</v>
      </c>
      <c r="I9" s="205">
        <f t="shared" si="0"/>
        <v>317.44</v>
      </c>
      <c r="J9" s="205">
        <f t="shared" si="1"/>
        <v>7.45</v>
      </c>
      <c r="K9" s="205">
        <f t="shared" si="2"/>
        <v>20.48</v>
      </c>
      <c r="L9" s="205">
        <f t="shared" si="3"/>
        <v>16.329999999999998</v>
      </c>
      <c r="M9" s="205">
        <f t="shared" si="4"/>
        <v>45.71</v>
      </c>
      <c r="N9" s="205">
        <f t="shared" si="5"/>
        <v>24.49</v>
      </c>
      <c r="O9" s="205">
        <f t="shared" si="6"/>
        <v>68.569999999999993</v>
      </c>
      <c r="P9" s="206">
        <f t="shared" si="7"/>
        <v>32.65</v>
      </c>
      <c r="Q9" s="205">
        <f t="shared" si="8"/>
        <v>40.812523499999998</v>
      </c>
      <c r="R9" s="205">
        <f t="shared" si="9"/>
        <v>114.27506580000001</v>
      </c>
      <c r="S9" s="205">
        <f t="shared" si="10"/>
        <v>65.3</v>
      </c>
      <c r="T9" s="205">
        <f t="shared" si="11"/>
        <v>130.6</v>
      </c>
      <c r="U9" s="205">
        <f t="shared" si="12"/>
        <v>73.459999999999994</v>
      </c>
      <c r="V9" s="207">
        <f t="shared" ref="V9:V52" si="18">+IFERROR(LOOKUP($G9,$AU$8:$AW$15,$AW$8:$AW$15),0)</f>
        <v>4.2409999999999997</v>
      </c>
      <c r="W9" s="205">
        <f t="shared" ref="W9:W52" si="19">ROUND(($H9*($F9)*($V$8/100)),2)</f>
        <v>276.94</v>
      </c>
      <c r="X9" s="205">
        <f t="shared" si="13"/>
        <v>326.5</v>
      </c>
      <c r="Y9" s="204"/>
      <c r="Z9" s="205">
        <f t="shared" ref="Z9:Z52" si="20">+I9+K9+M9+O9+P9+R9+S9</f>
        <v>664.42506579999997</v>
      </c>
      <c r="AA9" s="205">
        <f t="shared" si="14"/>
        <v>89.082523499999994</v>
      </c>
      <c r="AB9" s="208">
        <f t="shared" si="15"/>
        <v>162.54252349999999</v>
      </c>
      <c r="AC9" s="205">
        <f t="shared" ref="AC9:AC52" si="21">+W9+T9</f>
        <v>407.53999999999996</v>
      </c>
      <c r="AD9" s="205">
        <f t="shared" ref="AD9:AD52" si="22">+X9</f>
        <v>326.5</v>
      </c>
      <c r="AE9" s="208">
        <f t="shared" ref="AE9:AE52" si="23">+SUM(Z9:AD9)-AB9-AA9</f>
        <v>1398.4650658</v>
      </c>
      <c r="AF9" s="209"/>
      <c r="AG9" s="210">
        <v>5.0000000000000001E-3</v>
      </c>
      <c r="AI9" s="178">
        <f t="shared" ref="AI9:AI52" si="24">+Z9</f>
        <v>664.42506579999997</v>
      </c>
      <c r="AJ9" s="178">
        <f t="shared" ref="AJ9:AJ52" si="25">+W9+T9</f>
        <v>407.53999999999996</v>
      </c>
      <c r="AK9" s="211">
        <f t="shared" ref="AK9:AK52" si="26">+X9</f>
        <v>326.5</v>
      </c>
      <c r="AL9" s="209">
        <f t="shared" si="16"/>
        <v>0</v>
      </c>
      <c r="AP9" s="198">
        <v>209.51439999999999</v>
      </c>
      <c r="AQ9" s="198">
        <v>311.15999999999997</v>
      </c>
      <c r="AR9" s="213">
        <v>3.2810000000000001</v>
      </c>
      <c r="AU9" s="177">
        <v>97.182199999999995</v>
      </c>
      <c r="AV9" s="177">
        <v>144.32999999999998</v>
      </c>
      <c r="AW9" s="177">
        <v>3.2810000000000001</v>
      </c>
    </row>
    <row r="10" spans="2:49" ht="15.6">
      <c r="B10" s="203"/>
      <c r="E10" s="204"/>
      <c r="F10" s="204">
        <v>15</v>
      </c>
      <c r="G10" s="178">
        <v>414.88</v>
      </c>
      <c r="H10" s="205">
        <f t="shared" si="17"/>
        <v>435.33358399999997</v>
      </c>
      <c r="I10" s="205">
        <f t="shared" si="0"/>
        <v>317.44</v>
      </c>
      <c r="J10" s="205">
        <f t="shared" si="1"/>
        <v>7.45</v>
      </c>
      <c r="K10" s="205">
        <f t="shared" si="2"/>
        <v>20.48</v>
      </c>
      <c r="L10" s="205">
        <f t="shared" si="3"/>
        <v>16.329999999999998</v>
      </c>
      <c r="M10" s="205">
        <f t="shared" si="4"/>
        <v>45.71</v>
      </c>
      <c r="N10" s="205">
        <f t="shared" si="5"/>
        <v>24.49</v>
      </c>
      <c r="O10" s="205">
        <f t="shared" si="6"/>
        <v>68.569999999999993</v>
      </c>
      <c r="P10" s="206">
        <f t="shared" si="7"/>
        <v>32.65</v>
      </c>
      <c r="Q10" s="205">
        <f t="shared" si="8"/>
        <v>40.812523499999998</v>
      </c>
      <c r="R10" s="205">
        <f t="shared" si="9"/>
        <v>114.27506580000001</v>
      </c>
      <c r="S10" s="205">
        <f t="shared" si="10"/>
        <v>65.3</v>
      </c>
      <c r="T10" s="205">
        <f t="shared" si="11"/>
        <v>130.6</v>
      </c>
      <c r="U10" s="205">
        <f t="shared" si="12"/>
        <v>73.459999999999994</v>
      </c>
      <c r="V10" s="207">
        <f t="shared" si="18"/>
        <v>4.2409999999999997</v>
      </c>
      <c r="W10" s="205">
        <f t="shared" si="19"/>
        <v>276.94</v>
      </c>
      <c r="X10" s="205">
        <f t="shared" si="13"/>
        <v>326.5</v>
      </c>
      <c r="Y10" s="204"/>
      <c r="Z10" s="205">
        <f t="shared" si="20"/>
        <v>664.42506579999997</v>
      </c>
      <c r="AA10" s="205">
        <f t="shared" si="14"/>
        <v>89.082523499999994</v>
      </c>
      <c r="AB10" s="208">
        <f t="shared" si="15"/>
        <v>162.54252349999999</v>
      </c>
      <c r="AC10" s="205">
        <f t="shared" si="21"/>
        <v>407.53999999999996</v>
      </c>
      <c r="AD10" s="205">
        <f t="shared" si="22"/>
        <v>326.5</v>
      </c>
      <c r="AE10" s="208">
        <f t="shared" si="23"/>
        <v>1398.4650658</v>
      </c>
      <c r="AG10" s="210">
        <v>5.0000000000000001E-3</v>
      </c>
      <c r="AI10" s="178">
        <f t="shared" si="24"/>
        <v>664.42506579999997</v>
      </c>
      <c r="AJ10" s="178">
        <f t="shared" si="25"/>
        <v>407.53999999999996</v>
      </c>
      <c r="AK10" s="211">
        <f t="shared" si="26"/>
        <v>326.5</v>
      </c>
      <c r="AL10" s="209">
        <f t="shared" si="16"/>
        <v>0</v>
      </c>
      <c r="AP10" s="214">
        <v>313.23439999999999</v>
      </c>
      <c r="AQ10" s="214">
        <v>414.88</v>
      </c>
      <c r="AR10" s="213">
        <v>3.5750000000000002</v>
      </c>
      <c r="AU10" s="177">
        <v>145.29220000000001</v>
      </c>
      <c r="AV10" s="177">
        <v>192.44</v>
      </c>
      <c r="AW10" s="177">
        <v>3.5750000000000002</v>
      </c>
    </row>
    <row r="11" spans="2:49" ht="15.6">
      <c r="B11" s="203"/>
      <c r="E11" s="204"/>
      <c r="F11" s="204">
        <v>15</v>
      </c>
      <c r="G11" s="178">
        <v>622.33000000000004</v>
      </c>
      <c r="H11" s="205">
        <f t="shared" si="17"/>
        <v>653.01086899999996</v>
      </c>
      <c r="I11" s="205">
        <f t="shared" si="0"/>
        <v>317.44</v>
      </c>
      <c r="J11" s="205">
        <f t="shared" si="1"/>
        <v>20.51</v>
      </c>
      <c r="K11" s="205">
        <f t="shared" si="2"/>
        <v>56.4</v>
      </c>
      <c r="L11" s="205">
        <f t="shared" si="3"/>
        <v>24.49</v>
      </c>
      <c r="M11" s="205">
        <f t="shared" si="4"/>
        <v>68.569999999999993</v>
      </c>
      <c r="N11" s="205">
        <f t="shared" si="5"/>
        <v>36.729999999999997</v>
      </c>
      <c r="O11" s="205">
        <f t="shared" si="6"/>
        <v>102.85</v>
      </c>
      <c r="P11" s="206">
        <f t="shared" si="7"/>
        <v>48.98</v>
      </c>
      <c r="Q11" s="205">
        <f t="shared" si="8"/>
        <v>61.219768968750003</v>
      </c>
      <c r="R11" s="205">
        <f t="shared" si="9"/>
        <v>171.41535311250001</v>
      </c>
      <c r="S11" s="205">
        <f t="shared" si="10"/>
        <v>97.95</v>
      </c>
      <c r="T11" s="205">
        <f t="shared" si="11"/>
        <v>195.9</v>
      </c>
      <c r="U11" s="205">
        <f t="shared" si="12"/>
        <v>110.2</v>
      </c>
      <c r="V11" s="207">
        <f t="shared" si="18"/>
        <v>4.2409999999999997</v>
      </c>
      <c r="W11" s="205">
        <f t="shared" si="19"/>
        <v>415.41</v>
      </c>
      <c r="X11" s="205">
        <f t="shared" si="13"/>
        <v>489.76</v>
      </c>
      <c r="Y11" s="204"/>
      <c r="Z11" s="205">
        <f t="shared" si="20"/>
        <v>863.6053531125001</v>
      </c>
      <c r="AA11" s="205">
        <f t="shared" si="14"/>
        <v>142.94976896874999</v>
      </c>
      <c r="AB11" s="208">
        <f t="shared" si="15"/>
        <v>253.14976896874998</v>
      </c>
      <c r="AC11" s="205">
        <f t="shared" si="21"/>
        <v>611.31000000000006</v>
      </c>
      <c r="AD11" s="205">
        <f t="shared" si="22"/>
        <v>489.76</v>
      </c>
      <c r="AE11" s="208">
        <f t="shared" si="23"/>
        <v>1964.6753531125005</v>
      </c>
      <c r="AG11" s="210">
        <v>5.0000000000000001E-3</v>
      </c>
      <c r="AI11" s="178">
        <f t="shared" si="24"/>
        <v>863.6053531125001</v>
      </c>
      <c r="AJ11" s="178">
        <f t="shared" si="25"/>
        <v>611.31000000000006</v>
      </c>
      <c r="AK11" s="211">
        <f t="shared" si="26"/>
        <v>489.76</v>
      </c>
      <c r="AL11" s="209">
        <f t="shared" si="16"/>
        <v>0</v>
      </c>
      <c r="AP11" s="182">
        <v>416.95439999999996</v>
      </c>
      <c r="AQ11" s="182">
        <v>518.6</v>
      </c>
      <c r="AR11" s="213">
        <v>3.7509999999999999</v>
      </c>
      <c r="AU11" s="177">
        <v>193.40219999999997</v>
      </c>
      <c r="AV11" s="177">
        <v>240.55</v>
      </c>
      <c r="AW11" s="177">
        <v>3.7509999999999999</v>
      </c>
    </row>
    <row r="12" spans="2:49" ht="15.6">
      <c r="B12" s="203"/>
      <c r="E12" s="204"/>
      <c r="F12" s="204">
        <v>15</v>
      </c>
      <c r="G12" s="178">
        <v>414.88</v>
      </c>
      <c r="H12" s="205">
        <f t="shared" si="17"/>
        <v>435.33358399999997</v>
      </c>
      <c r="I12" s="205">
        <f t="shared" si="0"/>
        <v>317.44</v>
      </c>
      <c r="J12" s="205">
        <f t="shared" si="1"/>
        <v>7.45</v>
      </c>
      <c r="K12" s="205">
        <f t="shared" si="2"/>
        <v>20.48</v>
      </c>
      <c r="L12" s="205">
        <f t="shared" si="3"/>
        <v>16.329999999999998</v>
      </c>
      <c r="M12" s="205">
        <f t="shared" si="4"/>
        <v>45.71</v>
      </c>
      <c r="N12" s="205">
        <f t="shared" si="5"/>
        <v>24.49</v>
      </c>
      <c r="O12" s="205">
        <f t="shared" si="6"/>
        <v>68.569999999999993</v>
      </c>
      <c r="P12" s="206">
        <f t="shared" si="7"/>
        <v>32.65</v>
      </c>
      <c r="Q12" s="205">
        <f t="shared" si="8"/>
        <v>40.812523499999998</v>
      </c>
      <c r="R12" s="205">
        <f t="shared" si="9"/>
        <v>114.27506580000001</v>
      </c>
      <c r="S12" s="205">
        <f t="shared" si="10"/>
        <v>65.3</v>
      </c>
      <c r="T12" s="205">
        <f t="shared" si="11"/>
        <v>130.6</v>
      </c>
      <c r="U12" s="205">
        <f t="shared" si="12"/>
        <v>73.459999999999994</v>
      </c>
      <c r="V12" s="207">
        <f t="shared" si="18"/>
        <v>4.2409999999999997</v>
      </c>
      <c r="W12" s="205">
        <f t="shared" si="19"/>
        <v>276.94</v>
      </c>
      <c r="X12" s="205">
        <f t="shared" si="13"/>
        <v>326.5</v>
      </c>
      <c r="Z12" s="205">
        <f t="shared" si="20"/>
        <v>664.42506579999997</v>
      </c>
      <c r="AA12" s="205">
        <f t="shared" si="14"/>
        <v>89.082523499999994</v>
      </c>
      <c r="AB12" s="208">
        <f t="shared" si="15"/>
        <v>162.54252349999999</v>
      </c>
      <c r="AC12" s="205">
        <f t="shared" si="21"/>
        <v>407.53999999999996</v>
      </c>
      <c r="AD12" s="205">
        <f t="shared" si="22"/>
        <v>326.5</v>
      </c>
      <c r="AE12" s="208">
        <f t="shared" si="23"/>
        <v>1398.4650658</v>
      </c>
      <c r="AF12" s="209"/>
      <c r="AG12" s="210">
        <v>5.0000000000000001E-3</v>
      </c>
      <c r="AI12" s="178">
        <f t="shared" si="24"/>
        <v>664.42506579999997</v>
      </c>
      <c r="AJ12" s="178">
        <f t="shared" si="25"/>
        <v>407.53999999999996</v>
      </c>
      <c r="AK12" s="211">
        <f t="shared" si="26"/>
        <v>326.5</v>
      </c>
      <c r="AL12" s="209">
        <f t="shared" si="16"/>
        <v>0</v>
      </c>
      <c r="AP12" s="182">
        <v>520.67439999999999</v>
      </c>
      <c r="AQ12" s="182">
        <v>622.31999999999994</v>
      </c>
      <c r="AR12" s="213">
        <v>3.8690000000000002</v>
      </c>
      <c r="AU12" s="177">
        <v>241.51219999999998</v>
      </c>
      <c r="AV12" s="177">
        <v>288.65999999999997</v>
      </c>
      <c r="AW12" s="177">
        <v>3.8690000000000002</v>
      </c>
    </row>
    <row r="13" spans="2:49" ht="15.6">
      <c r="B13" s="203"/>
      <c r="E13" s="204"/>
      <c r="F13" s="204">
        <v>15</v>
      </c>
      <c r="G13" s="178">
        <v>414.88</v>
      </c>
      <c r="H13" s="205">
        <f t="shared" si="17"/>
        <v>435.33358399999997</v>
      </c>
      <c r="I13" s="205">
        <f t="shared" si="0"/>
        <v>317.44</v>
      </c>
      <c r="J13" s="205">
        <f t="shared" si="1"/>
        <v>7.45</v>
      </c>
      <c r="K13" s="205">
        <f t="shared" si="2"/>
        <v>20.48</v>
      </c>
      <c r="L13" s="205">
        <f t="shared" si="3"/>
        <v>16.329999999999998</v>
      </c>
      <c r="M13" s="205">
        <f t="shared" si="4"/>
        <v>45.71</v>
      </c>
      <c r="N13" s="205">
        <f t="shared" si="5"/>
        <v>24.49</v>
      </c>
      <c r="O13" s="205">
        <f t="shared" si="6"/>
        <v>68.569999999999993</v>
      </c>
      <c r="P13" s="206">
        <f t="shared" si="7"/>
        <v>32.65</v>
      </c>
      <c r="Q13" s="205">
        <f t="shared" si="8"/>
        <v>40.812523499999998</v>
      </c>
      <c r="R13" s="205">
        <f t="shared" si="9"/>
        <v>114.27506580000001</v>
      </c>
      <c r="S13" s="205">
        <f t="shared" si="10"/>
        <v>65.3</v>
      </c>
      <c r="T13" s="205">
        <f t="shared" si="11"/>
        <v>130.6</v>
      </c>
      <c r="U13" s="205">
        <f t="shared" si="12"/>
        <v>73.459999999999994</v>
      </c>
      <c r="V13" s="207">
        <f t="shared" si="18"/>
        <v>4.2409999999999997</v>
      </c>
      <c r="W13" s="205">
        <f t="shared" si="19"/>
        <v>276.94</v>
      </c>
      <c r="X13" s="205">
        <f t="shared" si="13"/>
        <v>326.5</v>
      </c>
      <c r="Z13" s="205">
        <f t="shared" si="20"/>
        <v>664.42506579999997</v>
      </c>
      <c r="AA13" s="205">
        <f t="shared" si="14"/>
        <v>89.082523499999994</v>
      </c>
      <c r="AB13" s="208">
        <f t="shared" si="15"/>
        <v>162.54252349999999</v>
      </c>
      <c r="AC13" s="205">
        <f t="shared" si="21"/>
        <v>407.53999999999996</v>
      </c>
      <c r="AD13" s="205">
        <f t="shared" si="22"/>
        <v>326.5</v>
      </c>
      <c r="AE13" s="208">
        <f t="shared" si="23"/>
        <v>1398.4650658</v>
      </c>
      <c r="AG13" s="210">
        <v>5.0000000000000001E-3</v>
      </c>
      <c r="AI13" s="178">
        <f t="shared" si="24"/>
        <v>664.42506579999997</v>
      </c>
      <c r="AJ13" s="178">
        <f t="shared" si="25"/>
        <v>407.53999999999996</v>
      </c>
      <c r="AK13" s="211">
        <f t="shared" si="26"/>
        <v>326.5</v>
      </c>
      <c r="AL13" s="209">
        <f t="shared" si="16"/>
        <v>0</v>
      </c>
      <c r="AP13" s="182">
        <v>624.39439999999991</v>
      </c>
      <c r="AQ13" s="182">
        <v>726.04</v>
      </c>
      <c r="AR13" s="213">
        <v>3.9529999999999998</v>
      </c>
      <c r="AU13" s="177">
        <v>289.62219999999996</v>
      </c>
      <c r="AV13" s="177">
        <v>336.77</v>
      </c>
      <c r="AW13" s="177">
        <v>3.9529999999999998</v>
      </c>
    </row>
    <row r="14" spans="2:49" ht="15.6">
      <c r="E14" s="204"/>
      <c r="F14" s="204">
        <v>15</v>
      </c>
      <c r="G14" s="178">
        <v>1037.2</v>
      </c>
      <c r="H14" s="205">
        <f t="shared" si="17"/>
        <v>1088.3339599999999</v>
      </c>
      <c r="I14" s="205">
        <f t="shared" si="0"/>
        <v>317.44</v>
      </c>
      <c r="J14" s="205">
        <f t="shared" si="1"/>
        <v>46.63</v>
      </c>
      <c r="K14" s="205">
        <f t="shared" si="2"/>
        <v>128.22</v>
      </c>
      <c r="L14" s="205">
        <f t="shared" si="3"/>
        <v>40.81</v>
      </c>
      <c r="M14" s="205">
        <f t="shared" si="4"/>
        <v>114.28</v>
      </c>
      <c r="N14" s="205">
        <f t="shared" si="5"/>
        <v>61.22</v>
      </c>
      <c r="O14" s="205">
        <f t="shared" si="6"/>
        <v>171.41</v>
      </c>
      <c r="P14" s="206">
        <f t="shared" si="7"/>
        <v>81.63</v>
      </c>
      <c r="Q14" s="205">
        <f t="shared" si="8"/>
        <v>102.03130874999999</v>
      </c>
      <c r="R14" s="205">
        <f t="shared" si="9"/>
        <v>285.68766449999998</v>
      </c>
      <c r="S14" s="205">
        <f t="shared" si="10"/>
        <v>163.25</v>
      </c>
      <c r="T14" s="205">
        <f t="shared" si="11"/>
        <v>326.5</v>
      </c>
      <c r="U14" s="205">
        <f t="shared" si="12"/>
        <v>183.66</v>
      </c>
      <c r="V14" s="207">
        <f t="shared" si="18"/>
        <v>4.2409999999999997</v>
      </c>
      <c r="W14" s="205">
        <f t="shared" si="19"/>
        <v>692.34</v>
      </c>
      <c r="X14" s="205">
        <f t="shared" si="13"/>
        <v>816.25</v>
      </c>
      <c r="Z14" s="205">
        <f t="shared" si="20"/>
        <v>1261.9176644999998</v>
      </c>
      <c r="AA14" s="205">
        <f t="shared" si="14"/>
        <v>250.69130874999999</v>
      </c>
      <c r="AB14" s="208">
        <f t="shared" si="15"/>
        <v>434.35130874999999</v>
      </c>
      <c r="AC14" s="205">
        <f t="shared" si="21"/>
        <v>1018.84</v>
      </c>
      <c r="AD14" s="205">
        <f t="shared" si="22"/>
        <v>816.25</v>
      </c>
      <c r="AE14" s="208">
        <f t="shared" si="23"/>
        <v>3097.0076644999995</v>
      </c>
      <c r="AG14" s="210">
        <v>5.0000000000000001E-3</v>
      </c>
      <c r="AI14" s="178">
        <f t="shared" si="24"/>
        <v>1261.9176644999998</v>
      </c>
      <c r="AJ14" s="178">
        <f t="shared" si="25"/>
        <v>1018.84</v>
      </c>
      <c r="AK14" s="211">
        <f t="shared" si="26"/>
        <v>816.25</v>
      </c>
      <c r="AL14" s="209">
        <f t="shared" si="16"/>
        <v>0</v>
      </c>
      <c r="AP14" s="182">
        <v>105.7944</v>
      </c>
      <c r="AQ14" s="182">
        <v>829.76</v>
      </c>
      <c r="AR14" s="213">
        <v>4.016</v>
      </c>
      <c r="AU14" s="177">
        <v>337.73219999999998</v>
      </c>
      <c r="AV14" s="177">
        <v>384.88</v>
      </c>
      <c r="AW14" s="177">
        <v>4.016</v>
      </c>
    </row>
    <row r="15" spans="2:49" ht="15.6">
      <c r="E15" s="204"/>
      <c r="F15" s="204">
        <v>15</v>
      </c>
      <c r="G15" s="178">
        <v>414.88</v>
      </c>
      <c r="H15" s="205">
        <f t="shared" si="17"/>
        <v>435.33358399999997</v>
      </c>
      <c r="I15" s="205">
        <f t="shared" si="0"/>
        <v>317.44</v>
      </c>
      <c r="J15" s="205">
        <f t="shared" si="1"/>
        <v>7.45</v>
      </c>
      <c r="K15" s="205">
        <f t="shared" si="2"/>
        <v>20.48</v>
      </c>
      <c r="L15" s="205">
        <f t="shared" si="3"/>
        <v>16.329999999999998</v>
      </c>
      <c r="M15" s="205">
        <f t="shared" si="4"/>
        <v>45.71</v>
      </c>
      <c r="N15" s="205">
        <f t="shared" si="5"/>
        <v>24.49</v>
      </c>
      <c r="O15" s="205">
        <f t="shared" si="6"/>
        <v>68.569999999999993</v>
      </c>
      <c r="P15" s="206">
        <f t="shared" si="7"/>
        <v>32.65</v>
      </c>
      <c r="Q15" s="205">
        <f t="shared" si="8"/>
        <v>40.812523499999998</v>
      </c>
      <c r="R15" s="205">
        <f t="shared" si="9"/>
        <v>114.27506580000001</v>
      </c>
      <c r="S15" s="205">
        <f t="shared" si="10"/>
        <v>65.3</v>
      </c>
      <c r="T15" s="205">
        <f t="shared" si="11"/>
        <v>130.6</v>
      </c>
      <c r="U15" s="205">
        <f t="shared" si="12"/>
        <v>73.459999999999994</v>
      </c>
      <c r="V15" s="207">
        <f t="shared" si="18"/>
        <v>4.2409999999999997</v>
      </c>
      <c r="W15" s="205">
        <f t="shared" si="19"/>
        <v>276.94</v>
      </c>
      <c r="X15" s="205">
        <f t="shared" si="13"/>
        <v>326.5</v>
      </c>
      <c r="Z15" s="205">
        <f t="shared" si="20"/>
        <v>664.42506579999997</v>
      </c>
      <c r="AA15" s="205">
        <f t="shared" si="14"/>
        <v>89.082523499999994</v>
      </c>
      <c r="AB15" s="208">
        <f t="shared" si="15"/>
        <v>162.54252349999999</v>
      </c>
      <c r="AC15" s="205">
        <f t="shared" si="21"/>
        <v>407.53999999999996</v>
      </c>
      <c r="AD15" s="205">
        <f t="shared" si="22"/>
        <v>326.5</v>
      </c>
      <c r="AE15" s="208">
        <f t="shared" si="23"/>
        <v>1398.4650658</v>
      </c>
      <c r="AG15" s="210">
        <v>5.0000000000000001E-3</v>
      </c>
      <c r="AI15" s="178">
        <f t="shared" si="24"/>
        <v>664.42506579999997</v>
      </c>
      <c r="AJ15" s="178">
        <f t="shared" si="25"/>
        <v>407.53999999999996</v>
      </c>
      <c r="AK15" s="211">
        <f t="shared" si="26"/>
        <v>326.5</v>
      </c>
      <c r="AL15" s="209">
        <f t="shared" si="16"/>
        <v>0</v>
      </c>
      <c r="AP15" s="182">
        <v>831.83439999999996</v>
      </c>
      <c r="AQ15" s="182" t="s">
        <v>197</v>
      </c>
      <c r="AR15" s="99">
        <v>4.2409999999999997</v>
      </c>
      <c r="AU15" s="177">
        <v>385.84219999999999</v>
      </c>
      <c r="AV15" s="177" t="s">
        <v>198</v>
      </c>
      <c r="AW15" s="177">
        <v>4.2409999999999997</v>
      </c>
    </row>
    <row r="16" spans="2:49" ht="15.6">
      <c r="E16" s="204"/>
      <c r="F16" s="204">
        <v>15</v>
      </c>
      <c r="G16" s="178">
        <v>414.88</v>
      </c>
      <c r="H16" s="205">
        <f t="shared" si="17"/>
        <v>435.33358399999997</v>
      </c>
      <c r="I16" s="205">
        <f t="shared" si="0"/>
        <v>317.44</v>
      </c>
      <c r="J16" s="205">
        <f t="shared" si="1"/>
        <v>7.45</v>
      </c>
      <c r="K16" s="205">
        <f t="shared" si="2"/>
        <v>20.48</v>
      </c>
      <c r="L16" s="205">
        <f t="shared" si="3"/>
        <v>16.329999999999998</v>
      </c>
      <c r="M16" s="205">
        <f t="shared" si="4"/>
        <v>45.71</v>
      </c>
      <c r="N16" s="205">
        <f t="shared" si="5"/>
        <v>24.49</v>
      </c>
      <c r="O16" s="205">
        <f t="shared" si="6"/>
        <v>68.569999999999993</v>
      </c>
      <c r="P16" s="206">
        <f t="shared" si="7"/>
        <v>32.65</v>
      </c>
      <c r="Q16" s="205">
        <f t="shared" si="8"/>
        <v>40.812523499999998</v>
      </c>
      <c r="R16" s="205">
        <f t="shared" si="9"/>
        <v>114.27506580000001</v>
      </c>
      <c r="S16" s="205">
        <f t="shared" si="10"/>
        <v>65.3</v>
      </c>
      <c r="T16" s="205">
        <f t="shared" si="11"/>
        <v>130.6</v>
      </c>
      <c r="U16" s="205">
        <f t="shared" si="12"/>
        <v>73.459999999999994</v>
      </c>
      <c r="V16" s="207">
        <f t="shared" si="18"/>
        <v>4.2409999999999997</v>
      </c>
      <c r="W16" s="205">
        <f t="shared" si="19"/>
        <v>276.94</v>
      </c>
      <c r="X16" s="205">
        <f t="shared" si="13"/>
        <v>326.5</v>
      </c>
      <c r="Z16" s="205">
        <f t="shared" si="20"/>
        <v>664.42506579999997</v>
      </c>
      <c r="AA16" s="205">
        <f t="shared" si="14"/>
        <v>89.082523499999994</v>
      </c>
      <c r="AB16" s="208">
        <f t="shared" si="15"/>
        <v>162.54252349999999</v>
      </c>
      <c r="AC16" s="205">
        <f t="shared" si="21"/>
        <v>407.53999999999996</v>
      </c>
      <c r="AD16" s="205">
        <f t="shared" si="22"/>
        <v>326.5</v>
      </c>
      <c r="AE16" s="208">
        <f t="shared" si="23"/>
        <v>1398.4650658</v>
      </c>
      <c r="AG16" s="210">
        <v>5.0000000000000001E-3</v>
      </c>
      <c r="AI16" s="178">
        <f t="shared" si="24"/>
        <v>664.42506579999997</v>
      </c>
      <c r="AJ16" s="178">
        <f t="shared" si="25"/>
        <v>407.53999999999996</v>
      </c>
      <c r="AK16" s="211">
        <f t="shared" si="26"/>
        <v>326.5</v>
      </c>
      <c r="AL16" s="209">
        <f t="shared" si="16"/>
        <v>0</v>
      </c>
    </row>
    <row r="17" spans="5:38" ht="15.6">
      <c r="E17" s="204"/>
      <c r="F17" s="204">
        <v>15</v>
      </c>
      <c r="G17" s="178">
        <v>829.76</v>
      </c>
      <c r="H17" s="205">
        <f t="shared" si="17"/>
        <v>870.66716799999995</v>
      </c>
      <c r="I17" s="205">
        <f t="shared" si="0"/>
        <v>317.44</v>
      </c>
      <c r="J17" s="205">
        <f t="shared" si="1"/>
        <v>33.57</v>
      </c>
      <c r="K17" s="205">
        <f t="shared" si="2"/>
        <v>92.31</v>
      </c>
      <c r="L17" s="205">
        <f t="shared" si="3"/>
        <v>32.65</v>
      </c>
      <c r="M17" s="205">
        <f t="shared" si="4"/>
        <v>91.42</v>
      </c>
      <c r="N17" s="205">
        <f t="shared" si="5"/>
        <v>48.98</v>
      </c>
      <c r="O17" s="205">
        <f t="shared" si="6"/>
        <v>137.13</v>
      </c>
      <c r="P17" s="206">
        <f t="shared" si="7"/>
        <v>65.3</v>
      </c>
      <c r="Q17" s="205">
        <f t="shared" si="8"/>
        <v>81.625046999999995</v>
      </c>
      <c r="R17" s="205">
        <f t="shared" si="9"/>
        <v>228.55013160000001</v>
      </c>
      <c r="S17" s="205">
        <f t="shared" si="10"/>
        <v>130.6</v>
      </c>
      <c r="T17" s="205">
        <f t="shared" si="11"/>
        <v>261.2</v>
      </c>
      <c r="U17" s="205">
        <f t="shared" si="12"/>
        <v>146.93</v>
      </c>
      <c r="V17" s="207">
        <f t="shared" si="18"/>
        <v>4.2409999999999997</v>
      </c>
      <c r="W17" s="205">
        <f t="shared" si="19"/>
        <v>553.87</v>
      </c>
      <c r="X17" s="205">
        <f t="shared" si="13"/>
        <v>653</v>
      </c>
      <c r="Z17" s="205">
        <f t="shared" si="20"/>
        <v>1062.7501315999998</v>
      </c>
      <c r="AA17" s="205">
        <f t="shared" si="14"/>
        <v>196.82504699999998</v>
      </c>
      <c r="AB17" s="208">
        <f t="shared" si="15"/>
        <v>343.75504699999999</v>
      </c>
      <c r="AC17" s="205">
        <f t="shared" si="21"/>
        <v>815.06999999999994</v>
      </c>
      <c r="AD17" s="205">
        <f t="shared" si="22"/>
        <v>653</v>
      </c>
      <c r="AE17" s="208">
        <f t="shared" si="23"/>
        <v>2530.8201315999995</v>
      </c>
      <c r="AG17" s="210">
        <v>5.0000000000000001E-3</v>
      </c>
      <c r="AI17" s="178">
        <f t="shared" si="24"/>
        <v>1062.7501315999998</v>
      </c>
      <c r="AJ17" s="178">
        <f t="shared" si="25"/>
        <v>815.06999999999994</v>
      </c>
      <c r="AK17" s="211">
        <f t="shared" si="26"/>
        <v>653</v>
      </c>
      <c r="AL17" s="209">
        <f t="shared" si="16"/>
        <v>0</v>
      </c>
    </row>
    <row r="18" spans="5:38" ht="15.6">
      <c r="E18" s="204"/>
      <c r="F18" s="204">
        <v>15</v>
      </c>
      <c r="G18" s="178">
        <v>622.32000000000005</v>
      </c>
      <c r="H18" s="205">
        <f t="shared" si="17"/>
        <v>653.00037599999996</v>
      </c>
      <c r="I18" s="205">
        <f t="shared" si="0"/>
        <v>317.44</v>
      </c>
      <c r="J18" s="205">
        <f t="shared" si="1"/>
        <v>20.51</v>
      </c>
      <c r="K18" s="205">
        <f t="shared" si="2"/>
        <v>56.39</v>
      </c>
      <c r="L18" s="205">
        <f t="shared" si="3"/>
        <v>24.49</v>
      </c>
      <c r="M18" s="205">
        <f t="shared" si="4"/>
        <v>68.569999999999993</v>
      </c>
      <c r="N18" s="205">
        <f t="shared" si="5"/>
        <v>36.729999999999997</v>
      </c>
      <c r="O18" s="205">
        <f t="shared" si="6"/>
        <v>102.85</v>
      </c>
      <c r="P18" s="206">
        <f t="shared" si="7"/>
        <v>48.98</v>
      </c>
      <c r="Q18" s="205">
        <f t="shared" si="8"/>
        <v>61.218785249999996</v>
      </c>
      <c r="R18" s="205">
        <f t="shared" si="9"/>
        <v>171.41259870000002</v>
      </c>
      <c r="S18" s="205">
        <f t="shared" si="10"/>
        <v>97.95</v>
      </c>
      <c r="T18" s="205">
        <f t="shared" si="11"/>
        <v>195.9</v>
      </c>
      <c r="U18" s="205">
        <f t="shared" si="12"/>
        <v>110.19</v>
      </c>
      <c r="V18" s="207">
        <f t="shared" si="18"/>
        <v>4.2409999999999997</v>
      </c>
      <c r="W18" s="205">
        <f t="shared" si="19"/>
        <v>415.41</v>
      </c>
      <c r="X18" s="205">
        <f t="shared" si="13"/>
        <v>489.75</v>
      </c>
      <c r="Z18" s="205">
        <f t="shared" si="20"/>
        <v>863.59259870000005</v>
      </c>
      <c r="AA18" s="205">
        <f t="shared" si="14"/>
        <v>142.94878524999999</v>
      </c>
      <c r="AB18" s="208">
        <f t="shared" si="15"/>
        <v>253.13878524999998</v>
      </c>
      <c r="AC18" s="205">
        <f t="shared" si="21"/>
        <v>611.31000000000006</v>
      </c>
      <c r="AD18" s="205">
        <f t="shared" si="22"/>
        <v>489.75</v>
      </c>
      <c r="AE18" s="208">
        <f t="shared" si="23"/>
        <v>1964.6525987000002</v>
      </c>
      <c r="AG18" s="210">
        <v>5.0000000000000001E-3</v>
      </c>
      <c r="AI18" s="178">
        <f t="shared" si="24"/>
        <v>863.59259870000005</v>
      </c>
      <c r="AJ18" s="178">
        <f t="shared" si="25"/>
        <v>611.31000000000006</v>
      </c>
      <c r="AK18" s="211">
        <f t="shared" si="26"/>
        <v>489.75</v>
      </c>
      <c r="AL18" s="209">
        <f t="shared" si="16"/>
        <v>0</v>
      </c>
    </row>
    <row r="19" spans="5:38" ht="15.6">
      <c r="E19" s="204"/>
      <c r="F19" s="204">
        <v>15</v>
      </c>
      <c r="G19" s="178">
        <v>622.33000000000004</v>
      </c>
      <c r="H19" s="205">
        <f t="shared" si="17"/>
        <v>653.01086899999996</v>
      </c>
      <c r="I19" s="205">
        <f t="shared" si="0"/>
        <v>317.44</v>
      </c>
      <c r="J19" s="205">
        <f t="shared" si="1"/>
        <v>20.51</v>
      </c>
      <c r="K19" s="205">
        <f t="shared" si="2"/>
        <v>56.4</v>
      </c>
      <c r="L19" s="205">
        <f t="shared" si="3"/>
        <v>24.49</v>
      </c>
      <c r="M19" s="205">
        <f t="shared" si="4"/>
        <v>68.569999999999993</v>
      </c>
      <c r="N19" s="205">
        <f t="shared" si="5"/>
        <v>36.729999999999997</v>
      </c>
      <c r="O19" s="205">
        <f t="shared" si="6"/>
        <v>102.85</v>
      </c>
      <c r="P19" s="206">
        <f t="shared" si="7"/>
        <v>48.98</v>
      </c>
      <c r="Q19" s="205">
        <f t="shared" si="8"/>
        <v>61.219768968750003</v>
      </c>
      <c r="R19" s="205">
        <f t="shared" si="9"/>
        <v>171.41535311250001</v>
      </c>
      <c r="S19" s="205">
        <f t="shared" si="10"/>
        <v>97.95</v>
      </c>
      <c r="T19" s="205">
        <f t="shared" si="11"/>
        <v>195.9</v>
      </c>
      <c r="U19" s="205">
        <f t="shared" si="12"/>
        <v>110.2</v>
      </c>
      <c r="V19" s="207">
        <f t="shared" si="18"/>
        <v>4.2409999999999997</v>
      </c>
      <c r="W19" s="205">
        <f t="shared" si="19"/>
        <v>415.41</v>
      </c>
      <c r="X19" s="205">
        <f t="shared" si="13"/>
        <v>489.76</v>
      </c>
      <c r="Z19" s="205">
        <f t="shared" si="20"/>
        <v>863.6053531125001</v>
      </c>
      <c r="AA19" s="205">
        <f t="shared" si="14"/>
        <v>142.94976896874999</v>
      </c>
      <c r="AB19" s="208">
        <f t="shared" si="15"/>
        <v>253.14976896874998</v>
      </c>
      <c r="AC19" s="205">
        <f t="shared" si="21"/>
        <v>611.31000000000006</v>
      </c>
      <c r="AD19" s="205">
        <f t="shared" si="22"/>
        <v>489.76</v>
      </c>
      <c r="AE19" s="208">
        <f t="shared" si="23"/>
        <v>1964.6753531125005</v>
      </c>
      <c r="AG19" s="210">
        <v>5.0000000000000001E-3</v>
      </c>
      <c r="AI19" s="178">
        <f t="shared" si="24"/>
        <v>863.6053531125001</v>
      </c>
      <c r="AJ19" s="178">
        <f t="shared" si="25"/>
        <v>611.31000000000006</v>
      </c>
      <c r="AK19" s="211">
        <f t="shared" si="26"/>
        <v>489.76</v>
      </c>
      <c r="AL19" s="209">
        <f t="shared" si="16"/>
        <v>0</v>
      </c>
    </row>
    <row r="20" spans="5:38" ht="15.6">
      <c r="E20" s="204"/>
      <c r="F20" s="204">
        <v>15</v>
      </c>
      <c r="G20" s="178">
        <v>414.88</v>
      </c>
      <c r="H20" s="205">
        <f t="shared" si="17"/>
        <v>435.33358399999997</v>
      </c>
      <c r="I20" s="205">
        <f t="shared" si="0"/>
        <v>317.44</v>
      </c>
      <c r="J20" s="205">
        <f t="shared" si="1"/>
        <v>7.45</v>
      </c>
      <c r="K20" s="205">
        <f t="shared" si="2"/>
        <v>20.48</v>
      </c>
      <c r="L20" s="205">
        <f t="shared" si="3"/>
        <v>16.329999999999998</v>
      </c>
      <c r="M20" s="205">
        <f t="shared" si="4"/>
        <v>45.71</v>
      </c>
      <c r="N20" s="205">
        <f t="shared" si="5"/>
        <v>24.49</v>
      </c>
      <c r="O20" s="205">
        <f t="shared" si="6"/>
        <v>68.569999999999993</v>
      </c>
      <c r="P20" s="206">
        <f t="shared" si="7"/>
        <v>32.65</v>
      </c>
      <c r="Q20" s="205">
        <f t="shared" si="8"/>
        <v>40.812523499999998</v>
      </c>
      <c r="R20" s="205">
        <f t="shared" si="9"/>
        <v>114.27506580000001</v>
      </c>
      <c r="S20" s="205">
        <f t="shared" si="10"/>
        <v>65.3</v>
      </c>
      <c r="T20" s="205">
        <f t="shared" si="11"/>
        <v>130.6</v>
      </c>
      <c r="U20" s="205">
        <f t="shared" si="12"/>
        <v>73.459999999999994</v>
      </c>
      <c r="V20" s="207">
        <f t="shared" si="18"/>
        <v>4.2409999999999997</v>
      </c>
      <c r="W20" s="205">
        <f t="shared" si="19"/>
        <v>276.94</v>
      </c>
      <c r="X20" s="205">
        <f t="shared" si="13"/>
        <v>326.5</v>
      </c>
      <c r="Z20" s="205">
        <f t="shared" si="20"/>
        <v>664.42506579999997</v>
      </c>
      <c r="AA20" s="205">
        <f t="shared" si="14"/>
        <v>89.082523499999994</v>
      </c>
      <c r="AB20" s="208">
        <f t="shared" si="15"/>
        <v>162.54252349999999</v>
      </c>
      <c r="AC20" s="205">
        <f t="shared" si="21"/>
        <v>407.53999999999996</v>
      </c>
      <c r="AD20" s="205">
        <f t="shared" si="22"/>
        <v>326.5</v>
      </c>
      <c r="AE20" s="208">
        <f t="shared" si="23"/>
        <v>1398.4650658</v>
      </c>
      <c r="AG20" s="210">
        <v>5.0000000000000001E-3</v>
      </c>
      <c r="AI20" s="178">
        <f t="shared" si="24"/>
        <v>664.42506579999997</v>
      </c>
      <c r="AJ20" s="178">
        <f t="shared" si="25"/>
        <v>407.53999999999996</v>
      </c>
      <c r="AK20" s="211">
        <f t="shared" si="26"/>
        <v>326.5</v>
      </c>
      <c r="AL20" s="209">
        <f t="shared" si="16"/>
        <v>0</v>
      </c>
    </row>
    <row r="21" spans="5:38" ht="15.6">
      <c r="E21" s="204"/>
      <c r="F21" s="204">
        <v>15</v>
      </c>
      <c r="G21" s="178">
        <v>622.32000000000005</v>
      </c>
      <c r="H21" s="205">
        <f t="shared" si="17"/>
        <v>653.00037599999996</v>
      </c>
      <c r="I21" s="205">
        <f t="shared" si="0"/>
        <v>317.44</v>
      </c>
      <c r="J21" s="205">
        <f t="shared" si="1"/>
        <v>20.51</v>
      </c>
      <c r="K21" s="205">
        <f t="shared" si="2"/>
        <v>56.39</v>
      </c>
      <c r="L21" s="205">
        <f t="shared" si="3"/>
        <v>24.49</v>
      </c>
      <c r="M21" s="205">
        <f t="shared" si="4"/>
        <v>68.569999999999993</v>
      </c>
      <c r="N21" s="205">
        <f t="shared" si="5"/>
        <v>36.729999999999997</v>
      </c>
      <c r="O21" s="205">
        <f t="shared" si="6"/>
        <v>102.85</v>
      </c>
      <c r="P21" s="206">
        <f t="shared" si="7"/>
        <v>48.98</v>
      </c>
      <c r="Q21" s="205">
        <f t="shared" si="8"/>
        <v>61.218785249999996</v>
      </c>
      <c r="R21" s="205">
        <f t="shared" si="9"/>
        <v>171.41259870000002</v>
      </c>
      <c r="S21" s="205">
        <f t="shared" si="10"/>
        <v>97.95</v>
      </c>
      <c r="T21" s="205">
        <f t="shared" si="11"/>
        <v>195.9</v>
      </c>
      <c r="U21" s="205">
        <f t="shared" si="12"/>
        <v>110.19</v>
      </c>
      <c r="V21" s="207">
        <f t="shared" si="18"/>
        <v>4.2409999999999997</v>
      </c>
      <c r="W21" s="205">
        <f t="shared" si="19"/>
        <v>415.41</v>
      </c>
      <c r="X21" s="205">
        <f t="shared" si="13"/>
        <v>489.75</v>
      </c>
      <c r="Z21" s="205">
        <f t="shared" si="20"/>
        <v>863.59259870000005</v>
      </c>
      <c r="AA21" s="205">
        <f t="shared" si="14"/>
        <v>142.94878524999999</v>
      </c>
      <c r="AB21" s="208">
        <f t="shared" si="15"/>
        <v>253.13878524999998</v>
      </c>
      <c r="AC21" s="205">
        <f t="shared" si="21"/>
        <v>611.31000000000006</v>
      </c>
      <c r="AD21" s="205">
        <f t="shared" si="22"/>
        <v>489.75</v>
      </c>
      <c r="AE21" s="208">
        <f t="shared" si="23"/>
        <v>1964.6525987000002</v>
      </c>
      <c r="AG21" s="210">
        <v>5.0000000000000001E-3</v>
      </c>
      <c r="AI21" s="178">
        <f t="shared" si="24"/>
        <v>863.59259870000005</v>
      </c>
      <c r="AJ21" s="178">
        <f t="shared" si="25"/>
        <v>611.31000000000006</v>
      </c>
      <c r="AK21" s="211">
        <f t="shared" si="26"/>
        <v>489.75</v>
      </c>
      <c r="AL21" s="209">
        <f t="shared" si="16"/>
        <v>0</v>
      </c>
    </row>
    <row r="22" spans="5:38" ht="15.6">
      <c r="E22" s="204"/>
      <c r="F22" s="204">
        <v>15</v>
      </c>
      <c r="G22" s="178">
        <v>1037.2</v>
      </c>
      <c r="H22" s="205">
        <f t="shared" si="17"/>
        <v>1088.3339599999999</v>
      </c>
      <c r="I22" s="205">
        <f t="shared" si="0"/>
        <v>317.44</v>
      </c>
      <c r="J22" s="205">
        <f t="shared" si="1"/>
        <v>46.63</v>
      </c>
      <c r="K22" s="205">
        <f t="shared" si="2"/>
        <v>128.22</v>
      </c>
      <c r="L22" s="205">
        <f t="shared" si="3"/>
        <v>40.81</v>
      </c>
      <c r="M22" s="205">
        <f t="shared" si="4"/>
        <v>114.28</v>
      </c>
      <c r="N22" s="205">
        <f t="shared" si="5"/>
        <v>61.22</v>
      </c>
      <c r="O22" s="205">
        <f t="shared" si="6"/>
        <v>171.41</v>
      </c>
      <c r="P22" s="206">
        <f t="shared" si="7"/>
        <v>81.63</v>
      </c>
      <c r="Q22" s="205">
        <f t="shared" si="8"/>
        <v>102.03130874999999</v>
      </c>
      <c r="R22" s="205">
        <f t="shared" si="9"/>
        <v>285.68766449999998</v>
      </c>
      <c r="S22" s="205">
        <f t="shared" si="10"/>
        <v>163.25</v>
      </c>
      <c r="T22" s="205">
        <f t="shared" si="11"/>
        <v>326.5</v>
      </c>
      <c r="U22" s="205">
        <f t="shared" si="12"/>
        <v>183.66</v>
      </c>
      <c r="V22" s="207">
        <f t="shared" si="18"/>
        <v>4.2409999999999997</v>
      </c>
      <c r="W22" s="205">
        <f t="shared" si="19"/>
        <v>692.34</v>
      </c>
      <c r="X22" s="205">
        <f t="shared" si="13"/>
        <v>816.25</v>
      </c>
      <c r="Z22" s="205">
        <f t="shared" si="20"/>
        <v>1261.9176644999998</v>
      </c>
      <c r="AA22" s="205">
        <f t="shared" si="14"/>
        <v>250.69130874999999</v>
      </c>
      <c r="AB22" s="208">
        <f t="shared" si="15"/>
        <v>434.35130874999999</v>
      </c>
      <c r="AC22" s="205">
        <f t="shared" si="21"/>
        <v>1018.84</v>
      </c>
      <c r="AD22" s="205">
        <f t="shared" si="22"/>
        <v>816.25</v>
      </c>
      <c r="AE22" s="208">
        <f t="shared" si="23"/>
        <v>3097.0076644999995</v>
      </c>
      <c r="AG22" s="210">
        <v>5.0000000000000001E-3</v>
      </c>
      <c r="AI22" s="178">
        <f t="shared" si="24"/>
        <v>1261.9176644999998</v>
      </c>
      <c r="AJ22" s="178">
        <f t="shared" si="25"/>
        <v>1018.84</v>
      </c>
      <c r="AK22" s="211">
        <f t="shared" si="26"/>
        <v>816.25</v>
      </c>
      <c r="AL22" s="209">
        <f t="shared" si="16"/>
        <v>0</v>
      </c>
    </row>
    <row r="23" spans="5:38" ht="15.6">
      <c r="E23" s="204"/>
      <c r="F23" s="204">
        <v>15</v>
      </c>
      <c r="G23" s="178">
        <v>622.33000000000004</v>
      </c>
      <c r="H23" s="205">
        <f t="shared" si="17"/>
        <v>653.01086899999996</v>
      </c>
      <c r="I23" s="205">
        <f t="shared" si="0"/>
        <v>317.44</v>
      </c>
      <c r="J23" s="205">
        <f t="shared" si="1"/>
        <v>20.51</v>
      </c>
      <c r="K23" s="205">
        <f t="shared" si="2"/>
        <v>56.4</v>
      </c>
      <c r="L23" s="205">
        <f t="shared" si="3"/>
        <v>24.49</v>
      </c>
      <c r="M23" s="205">
        <f t="shared" si="4"/>
        <v>68.569999999999993</v>
      </c>
      <c r="N23" s="205">
        <f t="shared" si="5"/>
        <v>36.729999999999997</v>
      </c>
      <c r="O23" s="205">
        <f t="shared" si="6"/>
        <v>102.85</v>
      </c>
      <c r="P23" s="206">
        <f t="shared" si="7"/>
        <v>48.98</v>
      </c>
      <c r="Q23" s="205">
        <f t="shared" si="8"/>
        <v>61.219768968750003</v>
      </c>
      <c r="R23" s="205">
        <f t="shared" si="9"/>
        <v>171.41535311250001</v>
      </c>
      <c r="S23" s="205">
        <f t="shared" si="10"/>
        <v>97.95</v>
      </c>
      <c r="T23" s="205">
        <f t="shared" si="11"/>
        <v>195.9</v>
      </c>
      <c r="U23" s="205">
        <f t="shared" si="12"/>
        <v>110.2</v>
      </c>
      <c r="V23" s="207">
        <f t="shared" si="18"/>
        <v>4.2409999999999997</v>
      </c>
      <c r="W23" s="205">
        <f t="shared" si="19"/>
        <v>415.41</v>
      </c>
      <c r="X23" s="205">
        <f t="shared" si="13"/>
        <v>489.76</v>
      </c>
      <c r="Z23" s="205">
        <f t="shared" si="20"/>
        <v>863.6053531125001</v>
      </c>
      <c r="AA23" s="205">
        <f t="shared" si="14"/>
        <v>142.94976896874999</v>
      </c>
      <c r="AB23" s="208">
        <f t="shared" si="15"/>
        <v>253.14976896874998</v>
      </c>
      <c r="AC23" s="205">
        <f t="shared" si="21"/>
        <v>611.31000000000006</v>
      </c>
      <c r="AD23" s="205">
        <f t="shared" si="22"/>
        <v>489.76</v>
      </c>
      <c r="AE23" s="208">
        <f t="shared" si="23"/>
        <v>1964.6753531125005</v>
      </c>
      <c r="AG23" s="210">
        <v>5.0000000000000001E-3</v>
      </c>
      <c r="AI23" s="178">
        <f t="shared" si="24"/>
        <v>863.6053531125001</v>
      </c>
      <c r="AJ23" s="178">
        <f t="shared" si="25"/>
        <v>611.31000000000006</v>
      </c>
      <c r="AK23" s="211">
        <f t="shared" si="26"/>
        <v>489.76</v>
      </c>
      <c r="AL23" s="209">
        <f t="shared" si="16"/>
        <v>0</v>
      </c>
    </row>
    <row r="24" spans="5:38" ht="15.6">
      <c r="E24" s="204"/>
      <c r="F24" s="204">
        <v>15</v>
      </c>
      <c r="G24" s="178">
        <v>414.88</v>
      </c>
      <c r="H24" s="205">
        <f t="shared" si="17"/>
        <v>435.33358399999997</v>
      </c>
      <c r="I24" s="205">
        <f t="shared" si="0"/>
        <v>317.44</v>
      </c>
      <c r="J24" s="205">
        <f t="shared" si="1"/>
        <v>7.45</v>
      </c>
      <c r="K24" s="205">
        <f t="shared" si="2"/>
        <v>20.48</v>
      </c>
      <c r="L24" s="205">
        <f t="shared" si="3"/>
        <v>16.329999999999998</v>
      </c>
      <c r="M24" s="205">
        <f t="shared" si="4"/>
        <v>45.71</v>
      </c>
      <c r="N24" s="205">
        <f t="shared" si="5"/>
        <v>24.49</v>
      </c>
      <c r="O24" s="205">
        <f t="shared" si="6"/>
        <v>68.569999999999993</v>
      </c>
      <c r="P24" s="206">
        <f t="shared" si="7"/>
        <v>32.65</v>
      </c>
      <c r="Q24" s="205">
        <f t="shared" si="8"/>
        <v>40.812523499999998</v>
      </c>
      <c r="R24" s="205">
        <f t="shared" si="9"/>
        <v>114.27506580000001</v>
      </c>
      <c r="S24" s="205">
        <f t="shared" si="10"/>
        <v>65.3</v>
      </c>
      <c r="T24" s="205">
        <f t="shared" si="11"/>
        <v>130.6</v>
      </c>
      <c r="U24" s="205">
        <f t="shared" si="12"/>
        <v>73.459999999999994</v>
      </c>
      <c r="V24" s="207">
        <f t="shared" si="18"/>
        <v>4.2409999999999997</v>
      </c>
      <c r="W24" s="205">
        <f t="shared" si="19"/>
        <v>276.94</v>
      </c>
      <c r="X24" s="205">
        <f t="shared" si="13"/>
        <v>326.5</v>
      </c>
      <c r="Z24" s="205">
        <f t="shared" si="20"/>
        <v>664.42506579999997</v>
      </c>
      <c r="AA24" s="205">
        <f t="shared" si="14"/>
        <v>89.082523499999994</v>
      </c>
      <c r="AB24" s="208">
        <f t="shared" si="15"/>
        <v>162.54252349999999</v>
      </c>
      <c r="AC24" s="205">
        <f t="shared" si="21"/>
        <v>407.53999999999996</v>
      </c>
      <c r="AD24" s="205">
        <f t="shared" si="22"/>
        <v>326.5</v>
      </c>
      <c r="AE24" s="208">
        <f t="shared" si="23"/>
        <v>1398.4650658</v>
      </c>
      <c r="AG24" s="210">
        <v>5.0000000000000001E-3</v>
      </c>
      <c r="AI24" s="178">
        <f t="shared" si="24"/>
        <v>664.42506579999997</v>
      </c>
      <c r="AJ24" s="178">
        <f t="shared" si="25"/>
        <v>407.53999999999996</v>
      </c>
      <c r="AK24" s="211">
        <f t="shared" si="26"/>
        <v>326.5</v>
      </c>
      <c r="AL24" s="209">
        <f t="shared" si="16"/>
        <v>0</v>
      </c>
    </row>
    <row r="25" spans="5:38" ht="15.6">
      <c r="E25" s="204"/>
      <c r="F25" s="204">
        <v>15</v>
      </c>
      <c r="G25" s="178">
        <v>414.88</v>
      </c>
      <c r="H25" s="205">
        <f t="shared" si="17"/>
        <v>435.33358399999997</v>
      </c>
      <c r="I25" s="205">
        <f t="shared" si="0"/>
        <v>317.44</v>
      </c>
      <c r="J25" s="205">
        <f t="shared" si="1"/>
        <v>7.45</v>
      </c>
      <c r="K25" s="205">
        <f t="shared" si="2"/>
        <v>20.48</v>
      </c>
      <c r="L25" s="205">
        <f t="shared" si="3"/>
        <v>16.329999999999998</v>
      </c>
      <c r="M25" s="205">
        <f t="shared" si="4"/>
        <v>45.71</v>
      </c>
      <c r="N25" s="205">
        <f t="shared" si="5"/>
        <v>24.49</v>
      </c>
      <c r="O25" s="205">
        <f t="shared" si="6"/>
        <v>68.569999999999993</v>
      </c>
      <c r="P25" s="206">
        <f t="shared" si="7"/>
        <v>32.65</v>
      </c>
      <c r="Q25" s="205">
        <f t="shared" si="8"/>
        <v>40.812523499999998</v>
      </c>
      <c r="R25" s="205">
        <f t="shared" si="9"/>
        <v>114.27506580000001</v>
      </c>
      <c r="S25" s="205">
        <f t="shared" si="10"/>
        <v>65.3</v>
      </c>
      <c r="T25" s="205">
        <f t="shared" si="11"/>
        <v>130.6</v>
      </c>
      <c r="U25" s="205">
        <f t="shared" si="12"/>
        <v>73.459999999999994</v>
      </c>
      <c r="V25" s="207">
        <f t="shared" si="18"/>
        <v>4.2409999999999997</v>
      </c>
      <c r="W25" s="205">
        <f t="shared" si="19"/>
        <v>276.94</v>
      </c>
      <c r="X25" s="205">
        <f t="shared" si="13"/>
        <v>326.5</v>
      </c>
      <c r="Z25" s="205">
        <f t="shared" si="20"/>
        <v>664.42506579999997</v>
      </c>
      <c r="AA25" s="205">
        <f t="shared" si="14"/>
        <v>89.082523499999994</v>
      </c>
      <c r="AB25" s="208">
        <f t="shared" si="15"/>
        <v>162.54252349999999</v>
      </c>
      <c r="AC25" s="205">
        <f t="shared" si="21"/>
        <v>407.53999999999996</v>
      </c>
      <c r="AD25" s="205">
        <f t="shared" si="22"/>
        <v>326.5</v>
      </c>
      <c r="AE25" s="208">
        <f t="shared" si="23"/>
        <v>1398.4650658</v>
      </c>
      <c r="AG25" s="210">
        <v>5.0000000000000001E-3</v>
      </c>
      <c r="AI25" s="178">
        <f t="shared" si="24"/>
        <v>664.42506579999997</v>
      </c>
      <c r="AJ25" s="178">
        <f t="shared" si="25"/>
        <v>407.53999999999996</v>
      </c>
      <c r="AK25" s="211">
        <f t="shared" si="26"/>
        <v>326.5</v>
      </c>
      <c r="AL25" s="209">
        <f t="shared" si="16"/>
        <v>0</v>
      </c>
    </row>
    <row r="26" spans="5:38" ht="15.6">
      <c r="E26" s="204"/>
      <c r="F26" s="204">
        <v>15</v>
      </c>
      <c r="G26" s="178">
        <v>829.76</v>
      </c>
      <c r="H26" s="205">
        <f t="shared" si="17"/>
        <v>870.66716799999995</v>
      </c>
      <c r="I26" s="205">
        <f t="shared" si="0"/>
        <v>317.44</v>
      </c>
      <c r="J26" s="205">
        <f t="shared" si="1"/>
        <v>33.57</v>
      </c>
      <c r="K26" s="205">
        <f t="shared" si="2"/>
        <v>92.31</v>
      </c>
      <c r="L26" s="205">
        <f t="shared" si="3"/>
        <v>32.65</v>
      </c>
      <c r="M26" s="205">
        <f t="shared" si="4"/>
        <v>91.42</v>
      </c>
      <c r="N26" s="205">
        <f t="shared" si="5"/>
        <v>48.98</v>
      </c>
      <c r="O26" s="205">
        <f t="shared" si="6"/>
        <v>137.13</v>
      </c>
      <c r="P26" s="206">
        <f t="shared" si="7"/>
        <v>65.3</v>
      </c>
      <c r="Q26" s="205">
        <f t="shared" si="8"/>
        <v>81.625046999999995</v>
      </c>
      <c r="R26" s="205">
        <f t="shared" si="9"/>
        <v>228.55013160000001</v>
      </c>
      <c r="S26" s="205">
        <f t="shared" si="10"/>
        <v>130.6</v>
      </c>
      <c r="T26" s="205">
        <f t="shared" si="11"/>
        <v>261.2</v>
      </c>
      <c r="U26" s="205">
        <f t="shared" si="12"/>
        <v>146.93</v>
      </c>
      <c r="V26" s="207">
        <f t="shared" si="18"/>
        <v>4.2409999999999997</v>
      </c>
      <c r="W26" s="205">
        <f t="shared" si="19"/>
        <v>553.87</v>
      </c>
      <c r="X26" s="205">
        <f t="shared" si="13"/>
        <v>653</v>
      </c>
      <c r="Z26" s="205">
        <f t="shared" si="20"/>
        <v>1062.7501315999998</v>
      </c>
      <c r="AA26" s="205">
        <f t="shared" si="14"/>
        <v>196.82504699999998</v>
      </c>
      <c r="AB26" s="208">
        <f t="shared" si="15"/>
        <v>343.75504699999999</v>
      </c>
      <c r="AC26" s="205">
        <f t="shared" si="21"/>
        <v>815.06999999999994</v>
      </c>
      <c r="AD26" s="205">
        <f t="shared" si="22"/>
        <v>653</v>
      </c>
      <c r="AE26" s="208">
        <f t="shared" si="23"/>
        <v>2530.8201315999995</v>
      </c>
      <c r="AG26" s="210">
        <v>5.0000000000000001E-3</v>
      </c>
      <c r="AI26" s="178">
        <f t="shared" si="24"/>
        <v>1062.7501315999998</v>
      </c>
      <c r="AJ26" s="178">
        <f t="shared" si="25"/>
        <v>815.06999999999994</v>
      </c>
      <c r="AK26" s="211">
        <f t="shared" si="26"/>
        <v>653</v>
      </c>
      <c r="AL26" s="209">
        <f t="shared" si="16"/>
        <v>0</v>
      </c>
    </row>
    <row r="27" spans="5:38" ht="15.6">
      <c r="E27" s="204"/>
      <c r="F27" s="204">
        <v>15</v>
      </c>
      <c r="G27" s="178">
        <v>414.88</v>
      </c>
      <c r="H27" s="205">
        <f t="shared" si="17"/>
        <v>435.33358399999997</v>
      </c>
      <c r="I27" s="205">
        <f t="shared" si="0"/>
        <v>317.44</v>
      </c>
      <c r="J27" s="205">
        <f t="shared" si="1"/>
        <v>7.45</v>
      </c>
      <c r="K27" s="205">
        <f t="shared" si="2"/>
        <v>20.48</v>
      </c>
      <c r="L27" s="205">
        <f t="shared" si="3"/>
        <v>16.329999999999998</v>
      </c>
      <c r="M27" s="205">
        <f t="shared" si="4"/>
        <v>45.71</v>
      </c>
      <c r="N27" s="205">
        <f t="shared" si="5"/>
        <v>24.49</v>
      </c>
      <c r="O27" s="205">
        <f t="shared" si="6"/>
        <v>68.569999999999993</v>
      </c>
      <c r="P27" s="206">
        <f t="shared" si="7"/>
        <v>32.65</v>
      </c>
      <c r="Q27" s="205">
        <f t="shared" si="8"/>
        <v>40.812523499999998</v>
      </c>
      <c r="R27" s="205">
        <f t="shared" si="9"/>
        <v>114.27506580000001</v>
      </c>
      <c r="S27" s="205">
        <f t="shared" si="10"/>
        <v>65.3</v>
      </c>
      <c r="T27" s="205">
        <f t="shared" si="11"/>
        <v>130.6</v>
      </c>
      <c r="U27" s="205">
        <f t="shared" si="12"/>
        <v>73.459999999999994</v>
      </c>
      <c r="V27" s="207">
        <f t="shared" si="18"/>
        <v>4.2409999999999997</v>
      </c>
      <c r="W27" s="205">
        <f t="shared" si="19"/>
        <v>276.94</v>
      </c>
      <c r="X27" s="205">
        <f t="shared" si="13"/>
        <v>326.5</v>
      </c>
      <c r="Z27" s="205">
        <f t="shared" si="20"/>
        <v>664.42506579999997</v>
      </c>
      <c r="AA27" s="205">
        <f t="shared" si="14"/>
        <v>89.082523499999994</v>
      </c>
      <c r="AB27" s="208">
        <f t="shared" si="15"/>
        <v>162.54252349999999</v>
      </c>
      <c r="AC27" s="205">
        <f t="shared" si="21"/>
        <v>407.53999999999996</v>
      </c>
      <c r="AD27" s="205">
        <f t="shared" si="22"/>
        <v>326.5</v>
      </c>
      <c r="AE27" s="208">
        <f t="shared" si="23"/>
        <v>1398.4650658</v>
      </c>
      <c r="AG27" s="210">
        <v>5.0000000000000001E-3</v>
      </c>
      <c r="AI27" s="178">
        <f t="shared" si="24"/>
        <v>664.42506579999997</v>
      </c>
      <c r="AJ27" s="178">
        <f t="shared" si="25"/>
        <v>407.53999999999996</v>
      </c>
      <c r="AK27" s="211">
        <f t="shared" si="26"/>
        <v>326.5</v>
      </c>
      <c r="AL27" s="209">
        <f t="shared" si="16"/>
        <v>0</v>
      </c>
    </row>
    <row r="28" spans="5:38" ht="15.6">
      <c r="E28" s="204"/>
      <c r="F28" s="204">
        <v>15</v>
      </c>
      <c r="G28" s="178">
        <v>414.88</v>
      </c>
      <c r="H28" s="205">
        <f t="shared" si="17"/>
        <v>435.33358399999997</v>
      </c>
      <c r="I28" s="205">
        <f t="shared" si="0"/>
        <v>317.44</v>
      </c>
      <c r="J28" s="205">
        <f t="shared" si="1"/>
        <v>7.45</v>
      </c>
      <c r="K28" s="205">
        <f t="shared" si="2"/>
        <v>20.48</v>
      </c>
      <c r="L28" s="205">
        <f t="shared" si="3"/>
        <v>16.329999999999998</v>
      </c>
      <c r="M28" s="205">
        <f t="shared" si="4"/>
        <v>45.71</v>
      </c>
      <c r="N28" s="205">
        <f t="shared" si="5"/>
        <v>24.49</v>
      </c>
      <c r="O28" s="205">
        <f t="shared" si="6"/>
        <v>68.569999999999993</v>
      </c>
      <c r="P28" s="206">
        <f t="shared" si="7"/>
        <v>32.65</v>
      </c>
      <c r="Q28" s="205">
        <f t="shared" si="8"/>
        <v>40.812523499999998</v>
      </c>
      <c r="R28" s="205">
        <f t="shared" si="9"/>
        <v>114.27506580000001</v>
      </c>
      <c r="S28" s="205">
        <f t="shared" si="10"/>
        <v>65.3</v>
      </c>
      <c r="T28" s="205">
        <f t="shared" si="11"/>
        <v>130.6</v>
      </c>
      <c r="U28" s="205">
        <f t="shared" si="12"/>
        <v>73.459999999999994</v>
      </c>
      <c r="V28" s="207">
        <f t="shared" si="18"/>
        <v>4.2409999999999997</v>
      </c>
      <c r="W28" s="205">
        <f t="shared" si="19"/>
        <v>276.94</v>
      </c>
      <c r="X28" s="205">
        <f t="shared" si="13"/>
        <v>326.5</v>
      </c>
      <c r="Z28" s="205">
        <f t="shared" si="20"/>
        <v>664.42506579999997</v>
      </c>
      <c r="AA28" s="205">
        <f t="shared" si="14"/>
        <v>89.082523499999994</v>
      </c>
      <c r="AB28" s="208">
        <f t="shared" si="15"/>
        <v>162.54252349999999</v>
      </c>
      <c r="AC28" s="205">
        <f t="shared" si="21"/>
        <v>407.53999999999996</v>
      </c>
      <c r="AD28" s="205">
        <f t="shared" si="22"/>
        <v>326.5</v>
      </c>
      <c r="AE28" s="208">
        <f t="shared" si="23"/>
        <v>1398.4650658</v>
      </c>
      <c r="AG28" s="210">
        <v>5.0000000000000001E-3</v>
      </c>
      <c r="AI28" s="178">
        <f t="shared" si="24"/>
        <v>664.42506579999997</v>
      </c>
      <c r="AJ28" s="178">
        <f t="shared" si="25"/>
        <v>407.53999999999996</v>
      </c>
      <c r="AK28" s="211">
        <f t="shared" si="26"/>
        <v>326.5</v>
      </c>
      <c r="AL28" s="209">
        <f t="shared" si="16"/>
        <v>0</v>
      </c>
    </row>
    <row r="29" spans="5:38" ht="15.6">
      <c r="E29" s="204"/>
      <c r="F29" s="204">
        <v>15</v>
      </c>
      <c r="G29" s="178">
        <v>829.76</v>
      </c>
      <c r="H29" s="205">
        <f t="shared" si="17"/>
        <v>870.66716799999995</v>
      </c>
      <c r="I29" s="205">
        <f t="shared" si="0"/>
        <v>317.44</v>
      </c>
      <c r="J29" s="205">
        <f t="shared" si="1"/>
        <v>33.57</v>
      </c>
      <c r="K29" s="205">
        <f t="shared" si="2"/>
        <v>92.31</v>
      </c>
      <c r="L29" s="205">
        <f t="shared" si="3"/>
        <v>32.65</v>
      </c>
      <c r="M29" s="205">
        <f t="shared" si="4"/>
        <v>91.42</v>
      </c>
      <c r="N29" s="205">
        <f t="shared" si="5"/>
        <v>48.98</v>
      </c>
      <c r="O29" s="205">
        <f t="shared" si="6"/>
        <v>137.13</v>
      </c>
      <c r="P29" s="206">
        <f t="shared" si="7"/>
        <v>65.3</v>
      </c>
      <c r="Q29" s="205">
        <f t="shared" si="8"/>
        <v>81.625046999999995</v>
      </c>
      <c r="R29" s="205">
        <f t="shared" si="9"/>
        <v>228.55013160000001</v>
      </c>
      <c r="S29" s="205">
        <f t="shared" si="10"/>
        <v>130.6</v>
      </c>
      <c r="T29" s="205">
        <f t="shared" si="11"/>
        <v>261.2</v>
      </c>
      <c r="U29" s="205">
        <f t="shared" si="12"/>
        <v>146.93</v>
      </c>
      <c r="V29" s="207">
        <f t="shared" si="18"/>
        <v>4.2409999999999997</v>
      </c>
      <c r="W29" s="205">
        <f t="shared" si="19"/>
        <v>553.87</v>
      </c>
      <c r="X29" s="205">
        <f t="shared" si="13"/>
        <v>653</v>
      </c>
      <c r="Z29" s="205">
        <f t="shared" si="20"/>
        <v>1062.7501315999998</v>
      </c>
      <c r="AA29" s="205">
        <f t="shared" si="14"/>
        <v>196.82504699999998</v>
      </c>
      <c r="AB29" s="208">
        <f t="shared" si="15"/>
        <v>343.75504699999999</v>
      </c>
      <c r="AC29" s="205">
        <f t="shared" si="21"/>
        <v>815.06999999999994</v>
      </c>
      <c r="AD29" s="205">
        <f t="shared" si="22"/>
        <v>653</v>
      </c>
      <c r="AE29" s="208">
        <f t="shared" si="23"/>
        <v>2530.8201315999995</v>
      </c>
      <c r="AG29" s="210">
        <v>5.0000000000000001E-3</v>
      </c>
      <c r="AI29" s="178">
        <f t="shared" si="24"/>
        <v>1062.7501315999998</v>
      </c>
      <c r="AJ29" s="178">
        <f t="shared" si="25"/>
        <v>815.06999999999994</v>
      </c>
      <c r="AK29" s="211">
        <f t="shared" si="26"/>
        <v>653</v>
      </c>
      <c r="AL29" s="209">
        <f t="shared" si="16"/>
        <v>0</v>
      </c>
    </row>
    <row r="30" spans="5:38" ht="15.6">
      <c r="E30" s="204"/>
      <c r="F30" s="204">
        <v>15</v>
      </c>
      <c r="G30" s="178">
        <v>414.88</v>
      </c>
      <c r="H30" s="205">
        <f t="shared" si="17"/>
        <v>435.33358399999997</v>
      </c>
      <c r="I30" s="205">
        <f t="shared" si="0"/>
        <v>317.44</v>
      </c>
      <c r="J30" s="205">
        <f t="shared" si="1"/>
        <v>7.45</v>
      </c>
      <c r="K30" s="205">
        <f t="shared" si="2"/>
        <v>20.48</v>
      </c>
      <c r="L30" s="205">
        <f t="shared" si="3"/>
        <v>16.329999999999998</v>
      </c>
      <c r="M30" s="205">
        <f t="shared" si="4"/>
        <v>45.71</v>
      </c>
      <c r="N30" s="205">
        <f t="shared" si="5"/>
        <v>24.49</v>
      </c>
      <c r="O30" s="205">
        <f t="shared" si="6"/>
        <v>68.569999999999993</v>
      </c>
      <c r="P30" s="206">
        <f t="shared" si="7"/>
        <v>32.65</v>
      </c>
      <c r="Q30" s="205">
        <f t="shared" si="8"/>
        <v>40.812523499999998</v>
      </c>
      <c r="R30" s="205">
        <f t="shared" si="9"/>
        <v>114.27506580000001</v>
      </c>
      <c r="S30" s="205">
        <f t="shared" si="10"/>
        <v>65.3</v>
      </c>
      <c r="T30" s="205">
        <f t="shared" si="11"/>
        <v>130.6</v>
      </c>
      <c r="U30" s="205">
        <f t="shared" si="12"/>
        <v>73.459999999999994</v>
      </c>
      <c r="V30" s="207">
        <f t="shared" si="18"/>
        <v>4.2409999999999997</v>
      </c>
      <c r="W30" s="205">
        <f t="shared" si="19"/>
        <v>276.94</v>
      </c>
      <c r="X30" s="205">
        <f t="shared" si="13"/>
        <v>326.5</v>
      </c>
      <c r="Z30" s="205">
        <f t="shared" si="20"/>
        <v>664.42506579999997</v>
      </c>
      <c r="AA30" s="205">
        <f t="shared" si="14"/>
        <v>89.082523499999994</v>
      </c>
      <c r="AB30" s="208">
        <f t="shared" si="15"/>
        <v>162.54252349999999</v>
      </c>
      <c r="AC30" s="205">
        <f t="shared" si="21"/>
        <v>407.53999999999996</v>
      </c>
      <c r="AD30" s="205">
        <f t="shared" si="22"/>
        <v>326.5</v>
      </c>
      <c r="AE30" s="208">
        <f t="shared" si="23"/>
        <v>1398.4650658</v>
      </c>
      <c r="AG30" s="210">
        <v>5.0000000000000001E-3</v>
      </c>
      <c r="AI30" s="178">
        <f t="shared" si="24"/>
        <v>664.42506579999997</v>
      </c>
      <c r="AJ30" s="178">
        <f t="shared" si="25"/>
        <v>407.53999999999996</v>
      </c>
      <c r="AK30" s="211">
        <f t="shared" si="26"/>
        <v>326.5</v>
      </c>
      <c r="AL30" s="209">
        <f t="shared" si="16"/>
        <v>0</v>
      </c>
    </row>
    <row r="31" spans="5:38" ht="15.6">
      <c r="E31" s="204"/>
      <c r="F31" s="204">
        <v>15</v>
      </c>
      <c r="G31" s="178">
        <v>414.88</v>
      </c>
      <c r="H31" s="205">
        <f t="shared" si="17"/>
        <v>435.33358399999997</v>
      </c>
      <c r="I31" s="205">
        <f t="shared" si="0"/>
        <v>317.44</v>
      </c>
      <c r="J31" s="205">
        <f t="shared" si="1"/>
        <v>7.45</v>
      </c>
      <c r="K31" s="205">
        <f t="shared" si="2"/>
        <v>20.48</v>
      </c>
      <c r="L31" s="205">
        <f t="shared" si="3"/>
        <v>16.329999999999998</v>
      </c>
      <c r="M31" s="205">
        <f t="shared" si="4"/>
        <v>45.71</v>
      </c>
      <c r="N31" s="205">
        <f t="shared" si="5"/>
        <v>24.49</v>
      </c>
      <c r="O31" s="205">
        <f t="shared" si="6"/>
        <v>68.569999999999993</v>
      </c>
      <c r="P31" s="206">
        <f t="shared" si="7"/>
        <v>32.65</v>
      </c>
      <c r="Q31" s="205">
        <f t="shared" si="8"/>
        <v>40.812523499999998</v>
      </c>
      <c r="R31" s="205">
        <f t="shared" si="9"/>
        <v>114.27506580000001</v>
      </c>
      <c r="S31" s="205">
        <f t="shared" si="10"/>
        <v>65.3</v>
      </c>
      <c r="T31" s="205">
        <f t="shared" si="11"/>
        <v>130.6</v>
      </c>
      <c r="U31" s="205">
        <f t="shared" si="12"/>
        <v>73.459999999999994</v>
      </c>
      <c r="V31" s="207">
        <f t="shared" si="18"/>
        <v>4.2409999999999997</v>
      </c>
      <c r="W31" s="205">
        <f t="shared" si="19"/>
        <v>276.94</v>
      </c>
      <c r="X31" s="205">
        <f t="shared" si="13"/>
        <v>326.5</v>
      </c>
      <c r="Z31" s="205">
        <f t="shared" si="20"/>
        <v>664.42506579999997</v>
      </c>
      <c r="AA31" s="205">
        <f t="shared" si="14"/>
        <v>89.082523499999994</v>
      </c>
      <c r="AB31" s="208">
        <f t="shared" si="15"/>
        <v>162.54252349999999</v>
      </c>
      <c r="AC31" s="205">
        <f t="shared" si="21"/>
        <v>407.53999999999996</v>
      </c>
      <c r="AD31" s="205">
        <f t="shared" si="22"/>
        <v>326.5</v>
      </c>
      <c r="AE31" s="208">
        <f t="shared" si="23"/>
        <v>1398.4650658</v>
      </c>
      <c r="AG31" s="210">
        <v>5.0000000000000001E-3</v>
      </c>
      <c r="AI31" s="178">
        <f t="shared" si="24"/>
        <v>664.42506579999997</v>
      </c>
      <c r="AJ31" s="178">
        <f t="shared" si="25"/>
        <v>407.53999999999996</v>
      </c>
      <c r="AK31" s="211">
        <f t="shared" si="26"/>
        <v>326.5</v>
      </c>
      <c r="AL31" s="209">
        <f t="shared" si="16"/>
        <v>0</v>
      </c>
    </row>
    <row r="32" spans="5:38" ht="15.6">
      <c r="F32" s="204">
        <v>15</v>
      </c>
      <c r="G32" s="178">
        <v>207.44</v>
      </c>
      <c r="H32" s="205">
        <f t="shared" si="17"/>
        <v>217.66679199999999</v>
      </c>
      <c r="I32" s="205">
        <f t="shared" si="0"/>
        <v>317.44</v>
      </c>
      <c r="J32" s="205">
        <f t="shared" si="1"/>
        <v>0</v>
      </c>
      <c r="K32" s="205">
        <f t="shared" si="2"/>
        <v>0</v>
      </c>
      <c r="L32" s="205">
        <f t="shared" si="3"/>
        <v>8.16</v>
      </c>
      <c r="M32" s="205">
        <f t="shared" si="4"/>
        <v>22.86</v>
      </c>
      <c r="N32" s="205">
        <f t="shared" si="5"/>
        <v>12.24</v>
      </c>
      <c r="O32" s="205">
        <f t="shared" si="6"/>
        <v>34.28</v>
      </c>
      <c r="P32" s="206">
        <f t="shared" si="7"/>
        <v>16.329999999999998</v>
      </c>
      <c r="Q32" s="205">
        <f t="shared" si="8"/>
        <v>20.406261749999999</v>
      </c>
      <c r="R32" s="205">
        <f t="shared" si="9"/>
        <v>57.137532900000004</v>
      </c>
      <c r="S32" s="205">
        <f t="shared" si="10"/>
        <v>32.65</v>
      </c>
      <c r="T32" s="205">
        <f t="shared" si="11"/>
        <v>65.3</v>
      </c>
      <c r="U32" s="205">
        <f t="shared" si="12"/>
        <v>36.729999999999997</v>
      </c>
      <c r="V32" s="207">
        <f t="shared" si="18"/>
        <v>3.7509999999999999</v>
      </c>
      <c r="W32" s="205">
        <f t="shared" si="19"/>
        <v>138.47</v>
      </c>
      <c r="X32" s="205">
        <f t="shared" si="13"/>
        <v>163.25</v>
      </c>
      <c r="Z32" s="205">
        <f t="shared" si="20"/>
        <v>480.6975329</v>
      </c>
      <c r="AA32" s="205">
        <f t="shared" si="14"/>
        <v>40.806261749999997</v>
      </c>
      <c r="AB32" s="208">
        <f t="shared" si="15"/>
        <v>77.536261749999994</v>
      </c>
      <c r="AC32" s="205">
        <f t="shared" si="21"/>
        <v>203.76999999999998</v>
      </c>
      <c r="AD32" s="205">
        <f t="shared" si="22"/>
        <v>163.25</v>
      </c>
      <c r="AE32" s="208">
        <f t="shared" si="23"/>
        <v>847.71753290000004</v>
      </c>
      <c r="AG32" s="210">
        <v>5.0000000000000001E-3</v>
      </c>
      <c r="AI32" s="178">
        <f t="shared" si="24"/>
        <v>480.6975329</v>
      </c>
      <c r="AJ32" s="178">
        <f t="shared" si="25"/>
        <v>203.76999999999998</v>
      </c>
      <c r="AK32" s="211">
        <f t="shared" si="26"/>
        <v>163.25</v>
      </c>
      <c r="AL32" s="209">
        <f t="shared" si="16"/>
        <v>0</v>
      </c>
    </row>
    <row r="33" spans="6:38" ht="15.6">
      <c r="F33" s="204">
        <v>15</v>
      </c>
      <c r="H33" s="205"/>
      <c r="I33" s="205">
        <f t="shared" si="0"/>
        <v>317.44</v>
      </c>
      <c r="J33" s="205">
        <f t="shared" si="1"/>
        <v>0</v>
      </c>
      <c r="K33" s="205">
        <f t="shared" si="2"/>
        <v>0</v>
      </c>
      <c r="L33" s="205">
        <f t="shared" si="3"/>
        <v>0</v>
      </c>
      <c r="M33" s="205">
        <f t="shared" si="4"/>
        <v>0</v>
      </c>
      <c r="N33" s="205">
        <f t="shared" si="5"/>
        <v>0</v>
      </c>
      <c r="O33" s="205">
        <f t="shared" si="6"/>
        <v>0</v>
      </c>
      <c r="P33" s="206">
        <f t="shared" si="7"/>
        <v>0</v>
      </c>
      <c r="Q33" s="205">
        <f t="shared" si="8"/>
        <v>0</v>
      </c>
      <c r="R33" s="205">
        <f t="shared" si="9"/>
        <v>0</v>
      </c>
      <c r="S33" s="205">
        <f t="shared" si="10"/>
        <v>0</v>
      </c>
      <c r="T33" s="205">
        <f t="shared" si="11"/>
        <v>0</v>
      </c>
      <c r="U33" s="205">
        <f t="shared" si="12"/>
        <v>0</v>
      </c>
      <c r="V33" s="207">
        <f t="shared" si="18"/>
        <v>0</v>
      </c>
      <c r="W33" s="205">
        <f t="shared" si="19"/>
        <v>0</v>
      </c>
      <c r="X33" s="205">
        <f t="shared" si="13"/>
        <v>0</v>
      </c>
      <c r="Z33" s="205">
        <f t="shared" si="20"/>
        <v>317.44</v>
      </c>
      <c r="AA33" s="205">
        <f t="shared" si="14"/>
        <v>0</v>
      </c>
      <c r="AB33" s="208">
        <f t="shared" si="15"/>
        <v>0</v>
      </c>
      <c r="AC33" s="205">
        <f t="shared" si="21"/>
        <v>0</v>
      </c>
      <c r="AD33" s="205">
        <f t="shared" si="22"/>
        <v>0</v>
      </c>
      <c r="AE33" s="208">
        <f t="shared" si="23"/>
        <v>317.44</v>
      </c>
      <c r="AG33" s="210">
        <v>5.0000000000000001E-3</v>
      </c>
      <c r="AI33" s="178">
        <f t="shared" si="24"/>
        <v>317.44</v>
      </c>
      <c r="AJ33" s="178">
        <f t="shared" si="25"/>
        <v>0</v>
      </c>
      <c r="AK33" s="211">
        <f t="shared" si="26"/>
        <v>0</v>
      </c>
      <c r="AL33" s="209">
        <f t="shared" si="16"/>
        <v>0</v>
      </c>
    </row>
    <row r="34" spans="6:38" ht="15.6">
      <c r="F34" s="204">
        <v>15</v>
      </c>
      <c r="H34" s="205"/>
      <c r="I34" s="205">
        <f t="shared" si="0"/>
        <v>317.44</v>
      </c>
      <c r="J34" s="205">
        <f t="shared" si="1"/>
        <v>0</v>
      </c>
      <c r="K34" s="205">
        <f t="shared" si="2"/>
        <v>0</v>
      </c>
      <c r="L34" s="205">
        <f t="shared" si="3"/>
        <v>0</v>
      </c>
      <c r="M34" s="205">
        <f t="shared" si="4"/>
        <v>0</v>
      </c>
      <c r="N34" s="205">
        <f t="shared" si="5"/>
        <v>0</v>
      </c>
      <c r="O34" s="205">
        <f t="shared" si="6"/>
        <v>0</v>
      </c>
      <c r="P34" s="206">
        <f t="shared" si="7"/>
        <v>0</v>
      </c>
      <c r="Q34" s="205">
        <f t="shared" si="8"/>
        <v>0</v>
      </c>
      <c r="R34" s="205">
        <f t="shared" si="9"/>
        <v>0</v>
      </c>
      <c r="S34" s="205">
        <f t="shared" si="10"/>
        <v>0</v>
      </c>
      <c r="T34" s="205">
        <f t="shared" si="11"/>
        <v>0</v>
      </c>
      <c r="U34" s="205">
        <f t="shared" si="12"/>
        <v>0</v>
      </c>
      <c r="V34" s="207">
        <f t="shared" si="18"/>
        <v>0</v>
      </c>
      <c r="W34" s="205">
        <f t="shared" si="19"/>
        <v>0</v>
      </c>
      <c r="X34" s="205">
        <f t="shared" si="13"/>
        <v>0</v>
      </c>
      <c r="Z34" s="205">
        <f t="shared" si="20"/>
        <v>317.44</v>
      </c>
      <c r="AA34" s="205">
        <f t="shared" si="14"/>
        <v>0</v>
      </c>
      <c r="AB34" s="208">
        <f t="shared" si="15"/>
        <v>0</v>
      </c>
      <c r="AC34" s="205">
        <f t="shared" si="21"/>
        <v>0</v>
      </c>
      <c r="AD34" s="205">
        <f t="shared" si="22"/>
        <v>0</v>
      </c>
      <c r="AE34" s="208">
        <f t="shared" si="23"/>
        <v>317.44</v>
      </c>
      <c r="AG34" s="210">
        <v>5.0000000000000001E-3</v>
      </c>
      <c r="AI34" s="178">
        <f t="shared" si="24"/>
        <v>317.44</v>
      </c>
      <c r="AJ34" s="178">
        <f t="shared" si="25"/>
        <v>0</v>
      </c>
      <c r="AK34" s="211">
        <f t="shared" si="26"/>
        <v>0</v>
      </c>
      <c r="AL34" s="209">
        <f t="shared" si="16"/>
        <v>0</v>
      </c>
    </row>
    <row r="35" spans="6:38" ht="15.6">
      <c r="F35" s="204">
        <v>15</v>
      </c>
      <c r="H35" s="205"/>
      <c r="I35" s="205">
        <f t="shared" si="0"/>
        <v>317.44</v>
      </c>
      <c r="J35" s="205">
        <f t="shared" si="1"/>
        <v>0</v>
      </c>
      <c r="K35" s="205">
        <f t="shared" si="2"/>
        <v>0</v>
      </c>
      <c r="L35" s="205">
        <f t="shared" si="3"/>
        <v>0</v>
      </c>
      <c r="M35" s="205">
        <f t="shared" si="4"/>
        <v>0</v>
      </c>
      <c r="N35" s="205">
        <f t="shared" si="5"/>
        <v>0</v>
      </c>
      <c r="O35" s="205">
        <f t="shared" si="6"/>
        <v>0</v>
      </c>
      <c r="P35" s="206">
        <f t="shared" si="7"/>
        <v>0</v>
      </c>
      <c r="Q35" s="205">
        <f t="shared" si="8"/>
        <v>0</v>
      </c>
      <c r="R35" s="205">
        <f t="shared" si="9"/>
        <v>0</v>
      </c>
      <c r="S35" s="205">
        <f t="shared" si="10"/>
        <v>0</v>
      </c>
      <c r="T35" s="205">
        <f t="shared" si="11"/>
        <v>0</v>
      </c>
      <c r="U35" s="205">
        <f t="shared" si="12"/>
        <v>0</v>
      </c>
      <c r="V35" s="207">
        <f t="shared" si="18"/>
        <v>0</v>
      </c>
      <c r="W35" s="205">
        <f t="shared" si="19"/>
        <v>0</v>
      </c>
      <c r="X35" s="205">
        <f t="shared" si="13"/>
        <v>0</v>
      </c>
      <c r="Z35" s="205">
        <f t="shared" si="20"/>
        <v>317.44</v>
      </c>
      <c r="AA35" s="205">
        <f t="shared" si="14"/>
        <v>0</v>
      </c>
      <c r="AB35" s="208">
        <f t="shared" si="15"/>
        <v>0</v>
      </c>
      <c r="AC35" s="205">
        <f t="shared" si="21"/>
        <v>0</v>
      </c>
      <c r="AD35" s="205">
        <f t="shared" si="22"/>
        <v>0</v>
      </c>
      <c r="AE35" s="208">
        <f t="shared" si="23"/>
        <v>317.44</v>
      </c>
      <c r="AG35" s="210">
        <v>5.0000000000000001E-3</v>
      </c>
      <c r="AI35" s="178">
        <f t="shared" si="24"/>
        <v>317.44</v>
      </c>
      <c r="AJ35" s="178">
        <f t="shared" si="25"/>
        <v>0</v>
      </c>
      <c r="AK35" s="211">
        <f t="shared" si="26"/>
        <v>0</v>
      </c>
      <c r="AL35" s="209">
        <f t="shared" si="16"/>
        <v>0</v>
      </c>
    </row>
    <row r="36" spans="6:38" ht="15.6">
      <c r="F36" s="204">
        <v>15</v>
      </c>
      <c r="H36" s="205"/>
      <c r="I36" s="205">
        <f t="shared" si="0"/>
        <v>317.44</v>
      </c>
      <c r="J36" s="205">
        <f t="shared" si="1"/>
        <v>0</v>
      </c>
      <c r="K36" s="205">
        <f t="shared" si="2"/>
        <v>0</v>
      </c>
      <c r="L36" s="205">
        <f t="shared" si="3"/>
        <v>0</v>
      </c>
      <c r="M36" s="205">
        <f t="shared" si="4"/>
        <v>0</v>
      </c>
      <c r="N36" s="205">
        <f t="shared" si="5"/>
        <v>0</v>
      </c>
      <c r="O36" s="205">
        <f t="shared" si="6"/>
        <v>0</v>
      </c>
      <c r="P36" s="206">
        <f t="shared" si="7"/>
        <v>0</v>
      </c>
      <c r="Q36" s="205">
        <f t="shared" si="8"/>
        <v>0</v>
      </c>
      <c r="R36" s="205">
        <f t="shared" si="9"/>
        <v>0</v>
      </c>
      <c r="S36" s="205">
        <f t="shared" si="10"/>
        <v>0</v>
      </c>
      <c r="T36" s="205">
        <f t="shared" si="11"/>
        <v>0</v>
      </c>
      <c r="U36" s="205">
        <f t="shared" si="12"/>
        <v>0</v>
      </c>
      <c r="V36" s="207">
        <f t="shared" si="18"/>
        <v>0</v>
      </c>
      <c r="W36" s="205">
        <f t="shared" si="19"/>
        <v>0</v>
      </c>
      <c r="X36" s="205">
        <f t="shared" si="13"/>
        <v>0</v>
      </c>
      <c r="Z36" s="205">
        <f t="shared" si="20"/>
        <v>317.44</v>
      </c>
      <c r="AA36" s="205">
        <f t="shared" si="14"/>
        <v>0</v>
      </c>
      <c r="AB36" s="208">
        <f t="shared" si="15"/>
        <v>0</v>
      </c>
      <c r="AC36" s="205">
        <f t="shared" si="21"/>
        <v>0</v>
      </c>
      <c r="AD36" s="205">
        <f t="shared" si="22"/>
        <v>0</v>
      </c>
      <c r="AE36" s="208">
        <f t="shared" si="23"/>
        <v>317.44</v>
      </c>
      <c r="AG36" s="210">
        <v>5.0000000000000001E-3</v>
      </c>
      <c r="AI36" s="178">
        <f t="shared" si="24"/>
        <v>317.44</v>
      </c>
      <c r="AJ36" s="178">
        <f t="shared" si="25"/>
        <v>0</v>
      </c>
      <c r="AK36" s="211">
        <f t="shared" si="26"/>
        <v>0</v>
      </c>
      <c r="AL36" s="209">
        <f t="shared" si="16"/>
        <v>0</v>
      </c>
    </row>
    <row r="37" spans="6:38" ht="15.6">
      <c r="F37" s="204">
        <v>15</v>
      </c>
      <c r="H37" s="205"/>
      <c r="I37" s="205">
        <f t="shared" si="0"/>
        <v>317.44</v>
      </c>
      <c r="J37" s="205">
        <f t="shared" si="1"/>
        <v>0</v>
      </c>
      <c r="K37" s="205">
        <f t="shared" si="2"/>
        <v>0</v>
      </c>
      <c r="L37" s="205">
        <f t="shared" si="3"/>
        <v>0</v>
      </c>
      <c r="M37" s="205">
        <f t="shared" si="4"/>
        <v>0</v>
      </c>
      <c r="N37" s="205">
        <f t="shared" si="5"/>
        <v>0</v>
      </c>
      <c r="O37" s="205">
        <f t="shared" si="6"/>
        <v>0</v>
      </c>
      <c r="P37" s="206">
        <f t="shared" si="7"/>
        <v>0</v>
      </c>
      <c r="Q37" s="205">
        <f t="shared" si="8"/>
        <v>0</v>
      </c>
      <c r="R37" s="205">
        <f t="shared" si="9"/>
        <v>0</v>
      </c>
      <c r="S37" s="205">
        <f t="shared" si="10"/>
        <v>0</v>
      </c>
      <c r="T37" s="205">
        <f t="shared" si="11"/>
        <v>0</v>
      </c>
      <c r="U37" s="205">
        <f t="shared" si="12"/>
        <v>0</v>
      </c>
      <c r="V37" s="207">
        <f t="shared" si="18"/>
        <v>0</v>
      </c>
      <c r="W37" s="205">
        <f t="shared" si="19"/>
        <v>0</v>
      </c>
      <c r="X37" s="205">
        <f t="shared" si="13"/>
        <v>0</v>
      </c>
      <c r="Z37" s="205">
        <f t="shared" si="20"/>
        <v>317.44</v>
      </c>
      <c r="AA37" s="205">
        <f t="shared" si="14"/>
        <v>0</v>
      </c>
      <c r="AB37" s="208">
        <f t="shared" si="15"/>
        <v>0</v>
      </c>
      <c r="AC37" s="205">
        <f t="shared" si="21"/>
        <v>0</v>
      </c>
      <c r="AD37" s="205">
        <f t="shared" si="22"/>
        <v>0</v>
      </c>
      <c r="AE37" s="208">
        <f t="shared" si="23"/>
        <v>317.44</v>
      </c>
      <c r="AG37" s="210">
        <v>5.0000000000000001E-3</v>
      </c>
      <c r="AI37" s="178">
        <f t="shared" si="24"/>
        <v>317.44</v>
      </c>
      <c r="AJ37" s="178">
        <f t="shared" si="25"/>
        <v>0</v>
      </c>
      <c r="AK37" s="211">
        <f t="shared" si="26"/>
        <v>0</v>
      </c>
      <c r="AL37" s="209">
        <f t="shared" si="16"/>
        <v>0</v>
      </c>
    </row>
    <row r="38" spans="6:38" ht="15.6">
      <c r="F38" s="204">
        <v>15</v>
      </c>
      <c r="H38" s="205"/>
      <c r="I38" s="205">
        <f t="shared" si="0"/>
        <v>317.44</v>
      </c>
      <c r="J38" s="205">
        <f t="shared" si="1"/>
        <v>0</v>
      </c>
      <c r="K38" s="205">
        <f t="shared" si="2"/>
        <v>0</v>
      </c>
      <c r="L38" s="205">
        <f t="shared" si="3"/>
        <v>0</v>
      </c>
      <c r="M38" s="205">
        <f t="shared" si="4"/>
        <v>0</v>
      </c>
      <c r="N38" s="205">
        <f t="shared" si="5"/>
        <v>0</v>
      </c>
      <c r="O38" s="205">
        <f t="shared" si="6"/>
        <v>0</v>
      </c>
      <c r="P38" s="206">
        <f t="shared" si="7"/>
        <v>0</v>
      </c>
      <c r="Q38" s="205">
        <f t="shared" si="8"/>
        <v>0</v>
      </c>
      <c r="R38" s="205">
        <f t="shared" si="9"/>
        <v>0</v>
      </c>
      <c r="S38" s="205">
        <f t="shared" si="10"/>
        <v>0</v>
      </c>
      <c r="T38" s="205">
        <f t="shared" si="11"/>
        <v>0</v>
      </c>
      <c r="U38" s="205">
        <f t="shared" si="12"/>
        <v>0</v>
      </c>
      <c r="V38" s="207">
        <f t="shared" si="18"/>
        <v>0</v>
      </c>
      <c r="W38" s="205">
        <f t="shared" si="19"/>
        <v>0</v>
      </c>
      <c r="X38" s="205">
        <f t="shared" si="13"/>
        <v>0</v>
      </c>
      <c r="Z38" s="205">
        <f t="shared" si="20"/>
        <v>317.44</v>
      </c>
      <c r="AA38" s="205">
        <f t="shared" si="14"/>
        <v>0</v>
      </c>
      <c r="AB38" s="208">
        <f t="shared" si="15"/>
        <v>0</v>
      </c>
      <c r="AC38" s="205">
        <f t="shared" si="21"/>
        <v>0</v>
      </c>
      <c r="AD38" s="205">
        <f t="shared" si="22"/>
        <v>0</v>
      </c>
      <c r="AE38" s="208">
        <f t="shared" si="23"/>
        <v>317.44</v>
      </c>
      <c r="AG38" s="210">
        <v>5.0000000000000001E-3</v>
      </c>
      <c r="AI38" s="178">
        <f t="shared" si="24"/>
        <v>317.44</v>
      </c>
      <c r="AJ38" s="178">
        <f t="shared" si="25"/>
        <v>0</v>
      </c>
      <c r="AK38" s="211">
        <f t="shared" si="26"/>
        <v>0</v>
      </c>
      <c r="AL38" s="209">
        <f t="shared" si="16"/>
        <v>0</v>
      </c>
    </row>
    <row r="39" spans="6:38" ht="15.6">
      <c r="F39" s="204">
        <v>15</v>
      </c>
      <c r="H39" s="205"/>
      <c r="I39" s="205">
        <f t="shared" si="0"/>
        <v>317.44</v>
      </c>
      <c r="J39" s="205">
        <f t="shared" si="1"/>
        <v>0</v>
      </c>
      <c r="K39" s="205">
        <f t="shared" si="2"/>
        <v>0</v>
      </c>
      <c r="L39" s="205">
        <f t="shared" si="3"/>
        <v>0</v>
      </c>
      <c r="M39" s="205">
        <f t="shared" si="4"/>
        <v>0</v>
      </c>
      <c r="N39" s="205">
        <f t="shared" si="5"/>
        <v>0</v>
      </c>
      <c r="O39" s="205">
        <f t="shared" si="6"/>
        <v>0</v>
      </c>
      <c r="P39" s="206">
        <f t="shared" si="7"/>
        <v>0</v>
      </c>
      <c r="Q39" s="205">
        <f t="shared" si="8"/>
        <v>0</v>
      </c>
      <c r="R39" s="205">
        <f t="shared" si="9"/>
        <v>0</v>
      </c>
      <c r="S39" s="205">
        <f t="shared" si="10"/>
        <v>0</v>
      </c>
      <c r="T39" s="205">
        <f t="shared" si="11"/>
        <v>0</v>
      </c>
      <c r="U39" s="205">
        <f t="shared" si="12"/>
        <v>0</v>
      </c>
      <c r="V39" s="207">
        <f t="shared" si="18"/>
        <v>0</v>
      </c>
      <c r="W39" s="205">
        <f t="shared" si="19"/>
        <v>0</v>
      </c>
      <c r="X39" s="205">
        <f t="shared" si="13"/>
        <v>0</v>
      </c>
      <c r="Z39" s="205">
        <f t="shared" si="20"/>
        <v>317.44</v>
      </c>
      <c r="AA39" s="205">
        <f t="shared" si="14"/>
        <v>0</v>
      </c>
      <c r="AB39" s="208">
        <f t="shared" si="15"/>
        <v>0</v>
      </c>
      <c r="AC39" s="205">
        <f t="shared" si="21"/>
        <v>0</v>
      </c>
      <c r="AD39" s="205">
        <f t="shared" si="22"/>
        <v>0</v>
      </c>
      <c r="AE39" s="208">
        <f t="shared" si="23"/>
        <v>317.44</v>
      </c>
      <c r="AG39" s="210">
        <v>5.0000000000000001E-3</v>
      </c>
      <c r="AI39" s="178">
        <f t="shared" si="24"/>
        <v>317.44</v>
      </c>
      <c r="AJ39" s="178">
        <f t="shared" si="25"/>
        <v>0</v>
      </c>
      <c r="AK39" s="211">
        <f t="shared" si="26"/>
        <v>0</v>
      </c>
      <c r="AL39" s="209">
        <f t="shared" si="16"/>
        <v>0</v>
      </c>
    </row>
    <row r="40" spans="6:38" ht="15.6">
      <c r="F40" s="204">
        <v>15</v>
      </c>
      <c r="H40" s="205"/>
      <c r="I40" s="205">
        <f t="shared" si="0"/>
        <v>317.44</v>
      </c>
      <c r="J40" s="205">
        <f t="shared" si="1"/>
        <v>0</v>
      </c>
      <c r="K40" s="205">
        <f t="shared" si="2"/>
        <v>0</v>
      </c>
      <c r="L40" s="205">
        <f t="shared" si="3"/>
        <v>0</v>
      </c>
      <c r="M40" s="205">
        <f t="shared" si="4"/>
        <v>0</v>
      </c>
      <c r="N40" s="205">
        <f t="shared" si="5"/>
        <v>0</v>
      </c>
      <c r="O40" s="205">
        <f t="shared" si="6"/>
        <v>0</v>
      </c>
      <c r="P40" s="206">
        <f t="shared" si="7"/>
        <v>0</v>
      </c>
      <c r="Q40" s="205">
        <f t="shared" si="8"/>
        <v>0</v>
      </c>
      <c r="R40" s="205">
        <f t="shared" si="9"/>
        <v>0</v>
      </c>
      <c r="S40" s="205">
        <f t="shared" si="10"/>
        <v>0</v>
      </c>
      <c r="T40" s="205">
        <f t="shared" si="11"/>
        <v>0</v>
      </c>
      <c r="U40" s="205">
        <f t="shared" si="12"/>
        <v>0</v>
      </c>
      <c r="V40" s="207">
        <f t="shared" si="18"/>
        <v>0</v>
      </c>
      <c r="W40" s="205">
        <f t="shared" si="19"/>
        <v>0</v>
      </c>
      <c r="X40" s="205">
        <f t="shared" si="13"/>
        <v>0</v>
      </c>
      <c r="Z40" s="205">
        <f t="shared" si="20"/>
        <v>317.44</v>
      </c>
      <c r="AA40" s="205">
        <f t="shared" si="14"/>
        <v>0</v>
      </c>
      <c r="AB40" s="208">
        <f t="shared" si="15"/>
        <v>0</v>
      </c>
      <c r="AC40" s="205">
        <f t="shared" si="21"/>
        <v>0</v>
      </c>
      <c r="AD40" s="205">
        <f t="shared" si="22"/>
        <v>0</v>
      </c>
      <c r="AE40" s="208">
        <f t="shared" si="23"/>
        <v>317.44</v>
      </c>
      <c r="AG40" s="210">
        <v>5.0000000000000001E-3</v>
      </c>
      <c r="AI40" s="178">
        <f t="shared" si="24"/>
        <v>317.44</v>
      </c>
      <c r="AJ40" s="178">
        <f t="shared" si="25"/>
        <v>0</v>
      </c>
      <c r="AK40" s="211">
        <f t="shared" si="26"/>
        <v>0</v>
      </c>
      <c r="AL40" s="209">
        <f t="shared" si="16"/>
        <v>0</v>
      </c>
    </row>
    <row r="41" spans="6:38" ht="15.6">
      <c r="F41" s="204">
        <v>15</v>
      </c>
      <c r="H41" s="205"/>
      <c r="I41" s="205">
        <f t="shared" si="0"/>
        <v>317.44</v>
      </c>
      <c r="J41" s="205">
        <f t="shared" si="1"/>
        <v>0</v>
      </c>
      <c r="K41" s="205">
        <f t="shared" si="2"/>
        <v>0</v>
      </c>
      <c r="L41" s="205">
        <f t="shared" si="3"/>
        <v>0</v>
      </c>
      <c r="M41" s="205">
        <f t="shared" si="4"/>
        <v>0</v>
      </c>
      <c r="N41" s="205">
        <f t="shared" si="5"/>
        <v>0</v>
      </c>
      <c r="O41" s="205">
        <f t="shared" si="6"/>
        <v>0</v>
      </c>
      <c r="P41" s="206">
        <f t="shared" si="7"/>
        <v>0</v>
      </c>
      <c r="Q41" s="205">
        <f t="shared" si="8"/>
        <v>0</v>
      </c>
      <c r="R41" s="205">
        <f t="shared" si="9"/>
        <v>0</v>
      </c>
      <c r="S41" s="205">
        <f t="shared" si="10"/>
        <v>0</v>
      </c>
      <c r="T41" s="205">
        <f t="shared" si="11"/>
        <v>0</v>
      </c>
      <c r="U41" s="205">
        <f t="shared" si="12"/>
        <v>0</v>
      </c>
      <c r="V41" s="207">
        <f t="shared" si="18"/>
        <v>0</v>
      </c>
      <c r="W41" s="205">
        <f t="shared" si="19"/>
        <v>0</v>
      </c>
      <c r="X41" s="205">
        <f t="shared" si="13"/>
        <v>0</v>
      </c>
      <c r="Z41" s="205">
        <f t="shared" si="20"/>
        <v>317.44</v>
      </c>
      <c r="AA41" s="205">
        <f t="shared" si="14"/>
        <v>0</v>
      </c>
      <c r="AB41" s="208">
        <f t="shared" si="15"/>
        <v>0</v>
      </c>
      <c r="AC41" s="205">
        <f t="shared" si="21"/>
        <v>0</v>
      </c>
      <c r="AD41" s="205">
        <f t="shared" si="22"/>
        <v>0</v>
      </c>
      <c r="AE41" s="208">
        <f t="shared" si="23"/>
        <v>317.44</v>
      </c>
      <c r="AG41" s="210">
        <v>5.0000000000000001E-3</v>
      </c>
      <c r="AI41" s="178">
        <f t="shared" si="24"/>
        <v>317.44</v>
      </c>
      <c r="AJ41" s="178">
        <f t="shared" si="25"/>
        <v>0</v>
      </c>
      <c r="AK41" s="211">
        <f t="shared" si="26"/>
        <v>0</v>
      </c>
      <c r="AL41" s="209">
        <f t="shared" si="16"/>
        <v>0</v>
      </c>
    </row>
    <row r="42" spans="6:38" ht="15.6">
      <c r="F42" s="204">
        <v>15</v>
      </c>
      <c r="H42" s="205"/>
      <c r="I42" s="205">
        <f t="shared" si="0"/>
        <v>317.44</v>
      </c>
      <c r="J42" s="205">
        <f t="shared" si="1"/>
        <v>0</v>
      </c>
      <c r="K42" s="205">
        <f t="shared" si="2"/>
        <v>0</v>
      </c>
      <c r="L42" s="205">
        <f t="shared" si="3"/>
        <v>0</v>
      </c>
      <c r="M42" s="205">
        <f t="shared" si="4"/>
        <v>0</v>
      </c>
      <c r="N42" s="205">
        <f t="shared" si="5"/>
        <v>0</v>
      </c>
      <c r="O42" s="205">
        <f t="shared" si="6"/>
        <v>0</v>
      </c>
      <c r="P42" s="206">
        <f t="shared" si="7"/>
        <v>0</v>
      </c>
      <c r="Q42" s="205">
        <f t="shared" si="8"/>
        <v>0</v>
      </c>
      <c r="R42" s="205">
        <f t="shared" si="9"/>
        <v>0</v>
      </c>
      <c r="S42" s="205">
        <f t="shared" si="10"/>
        <v>0</v>
      </c>
      <c r="T42" s="205">
        <f t="shared" si="11"/>
        <v>0</v>
      </c>
      <c r="U42" s="205">
        <f t="shared" si="12"/>
        <v>0</v>
      </c>
      <c r="V42" s="207">
        <f t="shared" si="18"/>
        <v>0</v>
      </c>
      <c r="W42" s="205">
        <f t="shared" si="19"/>
        <v>0</v>
      </c>
      <c r="X42" s="205">
        <f t="shared" si="13"/>
        <v>0</v>
      </c>
      <c r="Z42" s="205">
        <f t="shared" si="20"/>
        <v>317.44</v>
      </c>
      <c r="AA42" s="205">
        <f t="shared" si="14"/>
        <v>0</v>
      </c>
      <c r="AB42" s="208">
        <f t="shared" si="15"/>
        <v>0</v>
      </c>
      <c r="AC42" s="205">
        <f t="shared" si="21"/>
        <v>0</v>
      </c>
      <c r="AD42" s="205">
        <f t="shared" si="22"/>
        <v>0</v>
      </c>
      <c r="AE42" s="208">
        <f t="shared" si="23"/>
        <v>317.44</v>
      </c>
      <c r="AG42" s="210">
        <v>5.0000000000000001E-3</v>
      </c>
      <c r="AI42" s="178">
        <f t="shared" si="24"/>
        <v>317.44</v>
      </c>
      <c r="AJ42" s="178">
        <f t="shared" si="25"/>
        <v>0</v>
      </c>
      <c r="AK42" s="211">
        <f t="shared" si="26"/>
        <v>0</v>
      </c>
      <c r="AL42" s="209">
        <f t="shared" si="16"/>
        <v>0</v>
      </c>
    </row>
    <row r="43" spans="6:38" ht="15.6">
      <c r="F43" s="204">
        <v>15</v>
      </c>
      <c r="H43" s="205"/>
      <c r="I43" s="205">
        <f t="shared" si="0"/>
        <v>317.44</v>
      </c>
      <c r="J43" s="205">
        <f t="shared" si="1"/>
        <v>0</v>
      </c>
      <c r="K43" s="205">
        <f t="shared" si="2"/>
        <v>0</v>
      </c>
      <c r="L43" s="205">
        <f t="shared" si="3"/>
        <v>0</v>
      </c>
      <c r="M43" s="205">
        <f t="shared" si="4"/>
        <v>0</v>
      </c>
      <c r="N43" s="205">
        <f t="shared" si="5"/>
        <v>0</v>
      </c>
      <c r="O43" s="205">
        <f t="shared" si="6"/>
        <v>0</v>
      </c>
      <c r="P43" s="206">
        <f t="shared" si="7"/>
        <v>0</v>
      </c>
      <c r="Q43" s="205">
        <f t="shared" si="8"/>
        <v>0</v>
      </c>
      <c r="R43" s="205">
        <f t="shared" si="9"/>
        <v>0</v>
      </c>
      <c r="S43" s="205">
        <f t="shared" si="10"/>
        <v>0</v>
      </c>
      <c r="T43" s="205">
        <f t="shared" si="11"/>
        <v>0</v>
      </c>
      <c r="U43" s="205">
        <f t="shared" si="12"/>
        <v>0</v>
      </c>
      <c r="V43" s="207">
        <f t="shared" si="18"/>
        <v>0</v>
      </c>
      <c r="W43" s="205">
        <f t="shared" si="19"/>
        <v>0</v>
      </c>
      <c r="X43" s="205">
        <f t="shared" si="13"/>
        <v>0</v>
      </c>
      <c r="Z43" s="205">
        <f t="shared" si="20"/>
        <v>317.44</v>
      </c>
      <c r="AA43" s="205">
        <f t="shared" si="14"/>
        <v>0</v>
      </c>
      <c r="AB43" s="208">
        <f t="shared" si="15"/>
        <v>0</v>
      </c>
      <c r="AC43" s="205">
        <f t="shared" si="21"/>
        <v>0</v>
      </c>
      <c r="AD43" s="205">
        <f t="shared" si="22"/>
        <v>0</v>
      </c>
      <c r="AE43" s="208">
        <f t="shared" si="23"/>
        <v>317.44</v>
      </c>
      <c r="AG43" s="210">
        <v>5.0000000000000001E-3</v>
      </c>
      <c r="AI43" s="178">
        <f t="shared" si="24"/>
        <v>317.44</v>
      </c>
      <c r="AJ43" s="178">
        <f t="shared" si="25"/>
        <v>0</v>
      </c>
      <c r="AK43" s="211">
        <f t="shared" si="26"/>
        <v>0</v>
      </c>
      <c r="AL43" s="209">
        <f t="shared" si="16"/>
        <v>0</v>
      </c>
    </row>
    <row r="44" spans="6:38" ht="15.6">
      <c r="F44" s="204">
        <v>15</v>
      </c>
      <c r="H44" s="205"/>
      <c r="I44" s="205">
        <f t="shared" si="0"/>
        <v>317.44</v>
      </c>
      <c r="J44" s="205">
        <f t="shared" si="1"/>
        <v>0</v>
      </c>
      <c r="K44" s="205">
        <f t="shared" si="2"/>
        <v>0</v>
      </c>
      <c r="L44" s="205">
        <f t="shared" si="3"/>
        <v>0</v>
      </c>
      <c r="M44" s="205">
        <f t="shared" si="4"/>
        <v>0</v>
      </c>
      <c r="N44" s="205">
        <f t="shared" si="5"/>
        <v>0</v>
      </c>
      <c r="O44" s="205">
        <f t="shared" si="6"/>
        <v>0</v>
      </c>
      <c r="P44" s="206">
        <f t="shared" si="7"/>
        <v>0</v>
      </c>
      <c r="Q44" s="205">
        <f t="shared" si="8"/>
        <v>0</v>
      </c>
      <c r="R44" s="205">
        <f t="shared" si="9"/>
        <v>0</v>
      </c>
      <c r="S44" s="205">
        <f t="shared" si="10"/>
        <v>0</v>
      </c>
      <c r="T44" s="205">
        <f t="shared" si="11"/>
        <v>0</v>
      </c>
      <c r="U44" s="205">
        <f t="shared" si="12"/>
        <v>0</v>
      </c>
      <c r="V44" s="207">
        <f t="shared" si="18"/>
        <v>0</v>
      </c>
      <c r="W44" s="205">
        <f t="shared" si="19"/>
        <v>0</v>
      </c>
      <c r="X44" s="205">
        <f t="shared" si="13"/>
        <v>0</v>
      </c>
      <c r="Z44" s="205">
        <f t="shared" si="20"/>
        <v>317.44</v>
      </c>
      <c r="AA44" s="205">
        <f t="shared" si="14"/>
        <v>0</v>
      </c>
      <c r="AB44" s="208">
        <f t="shared" si="15"/>
        <v>0</v>
      </c>
      <c r="AC44" s="205">
        <f t="shared" si="21"/>
        <v>0</v>
      </c>
      <c r="AD44" s="205">
        <f t="shared" si="22"/>
        <v>0</v>
      </c>
      <c r="AE44" s="208">
        <f t="shared" si="23"/>
        <v>317.44</v>
      </c>
      <c r="AG44" s="210">
        <v>5.0000000000000001E-3</v>
      </c>
      <c r="AI44" s="178">
        <f t="shared" si="24"/>
        <v>317.44</v>
      </c>
      <c r="AJ44" s="178">
        <f t="shared" si="25"/>
        <v>0</v>
      </c>
      <c r="AK44" s="211">
        <f t="shared" si="26"/>
        <v>0</v>
      </c>
      <c r="AL44" s="209">
        <f t="shared" si="16"/>
        <v>0</v>
      </c>
    </row>
    <row r="45" spans="6:38" ht="15.6">
      <c r="F45" s="204">
        <v>15</v>
      </c>
      <c r="H45" s="205"/>
      <c r="I45" s="205">
        <f t="shared" si="0"/>
        <v>317.44</v>
      </c>
      <c r="J45" s="205">
        <f t="shared" si="1"/>
        <v>0</v>
      </c>
      <c r="K45" s="205">
        <f t="shared" si="2"/>
        <v>0</v>
      </c>
      <c r="L45" s="205">
        <f t="shared" si="3"/>
        <v>0</v>
      </c>
      <c r="M45" s="205">
        <f t="shared" si="4"/>
        <v>0</v>
      </c>
      <c r="N45" s="205">
        <f t="shared" si="5"/>
        <v>0</v>
      </c>
      <c r="O45" s="205">
        <f t="shared" si="6"/>
        <v>0</v>
      </c>
      <c r="P45" s="206">
        <f t="shared" si="7"/>
        <v>0</v>
      </c>
      <c r="Q45" s="205">
        <f t="shared" si="8"/>
        <v>0</v>
      </c>
      <c r="R45" s="205">
        <f t="shared" si="9"/>
        <v>0</v>
      </c>
      <c r="S45" s="205">
        <f t="shared" si="10"/>
        <v>0</v>
      </c>
      <c r="T45" s="205">
        <f t="shared" si="11"/>
        <v>0</v>
      </c>
      <c r="U45" s="205">
        <f t="shared" si="12"/>
        <v>0</v>
      </c>
      <c r="V45" s="207">
        <f t="shared" si="18"/>
        <v>0</v>
      </c>
      <c r="W45" s="205">
        <f t="shared" si="19"/>
        <v>0</v>
      </c>
      <c r="X45" s="205">
        <f t="shared" si="13"/>
        <v>0</v>
      </c>
      <c r="Z45" s="205">
        <f t="shared" si="20"/>
        <v>317.44</v>
      </c>
      <c r="AA45" s="205">
        <f t="shared" si="14"/>
        <v>0</v>
      </c>
      <c r="AB45" s="208">
        <f t="shared" si="15"/>
        <v>0</v>
      </c>
      <c r="AC45" s="205">
        <f t="shared" si="21"/>
        <v>0</v>
      </c>
      <c r="AD45" s="205">
        <f t="shared" si="22"/>
        <v>0</v>
      </c>
      <c r="AE45" s="208">
        <f t="shared" si="23"/>
        <v>317.44</v>
      </c>
      <c r="AG45" s="210">
        <v>5.0000000000000001E-3</v>
      </c>
      <c r="AI45" s="178">
        <f t="shared" si="24"/>
        <v>317.44</v>
      </c>
      <c r="AJ45" s="178">
        <f t="shared" si="25"/>
        <v>0</v>
      </c>
      <c r="AK45" s="211">
        <f t="shared" si="26"/>
        <v>0</v>
      </c>
      <c r="AL45" s="209">
        <f t="shared" si="16"/>
        <v>0</v>
      </c>
    </row>
    <row r="46" spans="6:38" ht="15.6">
      <c r="F46" s="204">
        <v>15</v>
      </c>
      <c r="H46" s="205"/>
      <c r="I46" s="205">
        <f t="shared" si="0"/>
        <v>317.44</v>
      </c>
      <c r="J46" s="205">
        <f t="shared" si="1"/>
        <v>0</v>
      </c>
      <c r="K46" s="205">
        <f t="shared" si="2"/>
        <v>0</v>
      </c>
      <c r="L46" s="205">
        <f t="shared" si="3"/>
        <v>0</v>
      </c>
      <c r="M46" s="205">
        <f t="shared" si="4"/>
        <v>0</v>
      </c>
      <c r="N46" s="205">
        <f t="shared" si="5"/>
        <v>0</v>
      </c>
      <c r="O46" s="205">
        <f t="shared" si="6"/>
        <v>0</v>
      </c>
      <c r="P46" s="206">
        <f t="shared" si="7"/>
        <v>0</v>
      </c>
      <c r="Q46" s="205">
        <f t="shared" si="8"/>
        <v>0</v>
      </c>
      <c r="R46" s="205">
        <f t="shared" si="9"/>
        <v>0</v>
      </c>
      <c r="S46" s="205">
        <f t="shared" si="10"/>
        <v>0</v>
      </c>
      <c r="T46" s="205">
        <f t="shared" si="11"/>
        <v>0</v>
      </c>
      <c r="U46" s="205">
        <f t="shared" si="12"/>
        <v>0</v>
      </c>
      <c r="V46" s="207">
        <f t="shared" si="18"/>
        <v>0</v>
      </c>
      <c r="W46" s="205">
        <f t="shared" si="19"/>
        <v>0</v>
      </c>
      <c r="X46" s="205">
        <f t="shared" si="13"/>
        <v>0</v>
      </c>
      <c r="Z46" s="205">
        <f t="shared" si="20"/>
        <v>317.44</v>
      </c>
      <c r="AA46" s="205">
        <f t="shared" si="14"/>
        <v>0</v>
      </c>
      <c r="AB46" s="208">
        <f t="shared" si="15"/>
        <v>0</v>
      </c>
      <c r="AC46" s="205">
        <f t="shared" si="21"/>
        <v>0</v>
      </c>
      <c r="AD46" s="205">
        <f t="shared" si="22"/>
        <v>0</v>
      </c>
      <c r="AE46" s="208">
        <f t="shared" si="23"/>
        <v>317.44</v>
      </c>
      <c r="AG46" s="210">
        <v>5.0000000000000001E-3</v>
      </c>
      <c r="AI46" s="178">
        <f t="shared" si="24"/>
        <v>317.44</v>
      </c>
      <c r="AJ46" s="178">
        <f t="shared" si="25"/>
        <v>0</v>
      </c>
      <c r="AK46" s="211">
        <f t="shared" si="26"/>
        <v>0</v>
      </c>
      <c r="AL46" s="209">
        <f t="shared" si="16"/>
        <v>0</v>
      </c>
    </row>
    <row r="47" spans="6:38" ht="15.6">
      <c r="F47" s="204">
        <v>16</v>
      </c>
      <c r="H47" s="205"/>
      <c r="I47" s="205">
        <f t="shared" si="0"/>
        <v>338.61</v>
      </c>
      <c r="J47" s="205">
        <f t="shared" si="1"/>
        <v>0</v>
      </c>
      <c r="K47" s="205">
        <f t="shared" si="2"/>
        <v>0</v>
      </c>
      <c r="L47" s="205">
        <f t="shared" si="3"/>
        <v>0</v>
      </c>
      <c r="M47" s="205">
        <f t="shared" si="4"/>
        <v>0</v>
      </c>
      <c r="N47" s="205">
        <f t="shared" si="5"/>
        <v>0</v>
      </c>
      <c r="O47" s="205">
        <f t="shared" si="6"/>
        <v>0</v>
      </c>
      <c r="P47" s="206">
        <f t="shared" si="7"/>
        <v>0</v>
      </c>
      <c r="Q47" s="205">
        <f t="shared" si="8"/>
        <v>0</v>
      </c>
      <c r="R47" s="205">
        <f t="shared" si="9"/>
        <v>0</v>
      </c>
      <c r="S47" s="205">
        <f t="shared" si="10"/>
        <v>0</v>
      </c>
      <c r="T47" s="205">
        <f t="shared" si="11"/>
        <v>0</v>
      </c>
      <c r="U47" s="205">
        <f t="shared" si="12"/>
        <v>0</v>
      </c>
      <c r="V47" s="207">
        <f t="shared" si="18"/>
        <v>0</v>
      </c>
      <c r="W47" s="205">
        <f t="shared" si="19"/>
        <v>0</v>
      </c>
      <c r="X47" s="205">
        <f t="shared" si="13"/>
        <v>0</v>
      </c>
      <c r="Z47" s="205">
        <f t="shared" si="20"/>
        <v>338.61</v>
      </c>
      <c r="AA47" s="205">
        <f t="shared" si="14"/>
        <v>0</v>
      </c>
      <c r="AB47" s="208">
        <f t="shared" si="15"/>
        <v>0</v>
      </c>
      <c r="AC47" s="205">
        <f t="shared" si="21"/>
        <v>0</v>
      </c>
      <c r="AD47" s="205">
        <f t="shared" si="22"/>
        <v>0</v>
      </c>
      <c r="AE47" s="208">
        <f t="shared" si="23"/>
        <v>338.61</v>
      </c>
      <c r="AG47" s="210">
        <v>5.0000000000000001E-3</v>
      </c>
      <c r="AI47" s="178">
        <f t="shared" si="24"/>
        <v>338.61</v>
      </c>
      <c r="AJ47" s="178">
        <f t="shared" si="25"/>
        <v>0</v>
      </c>
      <c r="AK47" s="211">
        <f t="shared" si="26"/>
        <v>0</v>
      </c>
      <c r="AL47" s="209">
        <f t="shared" si="16"/>
        <v>0</v>
      </c>
    </row>
    <row r="48" spans="6:38" ht="15.6">
      <c r="F48" s="204">
        <v>16</v>
      </c>
      <c r="H48" s="205"/>
      <c r="I48" s="205">
        <f t="shared" si="0"/>
        <v>338.61</v>
      </c>
      <c r="J48" s="205">
        <f t="shared" si="1"/>
        <v>0</v>
      </c>
      <c r="K48" s="205">
        <f t="shared" si="2"/>
        <v>0</v>
      </c>
      <c r="L48" s="205">
        <f t="shared" si="3"/>
        <v>0</v>
      </c>
      <c r="M48" s="205">
        <f t="shared" si="4"/>
        <v>0</v>
      </c>
      <c r="N48" s="205">
        <f t="shared" si="5"/>
        <v>0</v>
      </c>
      <c r="O48" s="205">
        <f t="shared" si="6"/>
        <v>0</v>
      </c>
      <c r="P48" s="206">
        <f t="shared" si="7"/>
        <v>0</v>
      </c>
      <c r="Q48" s="205">
        <f t="shared" si="8"/>
        <v>0</v>
      </c>
      <c r="R48" s="205">
        <f t="shared" si="9"/>
        <v>0</v>
      </c>
      <c r="S48" s="205">
        <f t="shared" si="10"/>
        <v>0</v>
      </c>
      <c r="T48" s="205">
        <f t="shared" si="11"/>
        <v>0</v>
      </c>
      <c r="U48" s="205">
        <f t="shared" si="12"/>
        <v>0</v>
      </c>
      <c r="V48" s="207">
        <f t="shared" si="18"/>
        <v>0</v>
      </c>
      <c r="W48" s="205">
        <f t="shared" si="19"/>
        <v>0</v>
      </c>
      <c r="X48" s="205">
        <f t="shared" si="13"/>
        <v>0</v>
      </c>
      <c r="Z48" s="205">
        <f t="shared" si="20"/>
        <v>338.61</v>
      </c>
      <c r="AA48" s="205">
        <f t="shared" si="14"/>
        <v>0</v>
      </c>
      <c r="AB48" s="208">
        <f t="shared" si="15"/>
        <v>0</v>
      </c>
      <c r="AC48" s="205">
        <f t="shared" si="21"/>
        <v>0</v>
      </c>
      <c r="AD48" s="205">
        <f t="shared" si="22"/>
        <v>0</v>
      </c>
      <c r="AE48" s="208">
        <f t="shared" si="23"/>
        <v>338.61</v>
      </c>
      <c r="AG48" s="210">
        <v>5.0000000000000001E-3</v>
      </c>
      <c r="AI48" s="178">
        <f t="shared" si="24"/>
        <v>338.61</v>
      </c>
      <c r="AJ48" s="178">
        <f t="shared" si="25"/>
        <v>0</v>
      </c>
      <c r="AK48" s="211">
        <f t="shared" si="26"/>
        <v>0</v>
      </c>
      <c r="AL48" s="209">
        <f t="shared" si="16"/>
        <v>0</v>
      </c>
    </row>
    <row r="49" spans="6:38" ht="15.6">
      <c r="F49" s="204">
        <v>16</v>
      </c>
      <c r="H49" s="205"/>
      <c r="I49" s="205">
        <f t="shared" si="0"/>
        <v>338.61</v>
      </c>
      <c r="J49" s="205">
        <f t="shared" si="1"/>
        <v>0</v>
      </c>
      <c r="K49" s="205">
        <f t="shared" si="2"/>
        <v>0</v>
      </c>
      <c r="L49" s="205">
        <f t="shared" si="3"/>
        <v>0</v>
      </c>
      <c r="M49" s="205">
        <f t="shared" si="4"/>
        <v>0</v>
      </c>
      <c r="N49" s="205">
        <f t="shared" si="5"/>
        <v>0</v>
      </c>
      <c r="O49" s="205">
        <f t="shared" si="6"/>
        <v>0</v>
      </c>
      <c r="P49" s="206">
        <f t="shared" si="7"/>
        <v>0</v>
      </c>
      <c r="Q49" s="205">
        <f t="shared" si="8"/>
        <v>0</v>
      </c>
      <c r="R49" s="205">
        <f t="shared" si="9"/>
        <v>0</v>
      </c>
      <c r="S49" s="205">
        <f t="shared" si="10"/>
        <v>0</v>
      </c>
      <c r="T49" s="205">
        <f t="shared" si="11"/>
        <v>0</v>
      </c>
      <c r="U49" s="205">
        <f t="shared" si="12"/>
        <v>0</v>
      </c>
      <c r="V49" s="207">
        <f t="shared" si="18"/>
        <v>0</v>
      </c>
      <c r="W49" s="205">
        <f t="shared" si="19"/>
        <v>0</v>
      </c>
      <c r="X49" s="205">
        <f t="shared" si="13"/>
        <v>0</v>
      </c>
      <c r="Z49" s="205">
        <f t="shared" si="20"/>
        <v>338.61</v>
      </c>
      <c r="AA49" s="205">
        <f t="shared" si="14"/>
        <v>0</v>
      </c>
      <c r="AB49" s="208">
        <f t="shared" si="15"/>
        <v>0</v>
      </c>
      <c r="AC49" s="205">
        <f t="shared" si="21"/>
        <v>0</v>
      </c>
      <c r="AD49" s="205">
        <f t="shared" si="22"/>
        <v>0</v>
      </c>
      <c r="AE49" s="208">
        <f t="shared" si="23"/>
        <v>338.61</v>
      </c>
      <c r="AG49" s="210">
        <v>5.0000000000000001E-3</v>
      </c>
      <c r="AI49" s="178">
        <f t="shared" si="24"/>
        <v>338.61</v>
      </c>
      <c r="AJ49" s="178">
        <f t="shared" si="25"/>
        <v>0</v>
      </c>
      <c r="AK49" s="211">
        <f t="shared" si="26"/>
        <v>0</v>
      </c>
      <c r="AL49" s="209">
        <f t="shared" si="16"/>
        <v>0</v>
      </c>
    </row>
    <row r="50" spans="6:38" ht="15.6">
      <c r="F50" s="204">
        <v>16</v>
      </c>
      <c r="H50" s="205"/>
      <c r="I50" s="205">
        <f t="shared" si="0"/>
        <v>338.61</v>
      </c>
      <c r="J50" s="205">
        <f t="shared" si="1"/>
        <v>0</v>
      </c>
      <c r="K50" s="205">
        <f t="shared" si="2"/>
        <v>0</v>
      </c>
      <c r="L50" s="205">
        <f t="shared" si="3"/>
        <v>0</v>
      </c>
      <c r="M50" s="205">
        <f t="shared" si="4"/>
        <v>0</v>
      </c>
      <c r="N50" s="205">
        <f t="shared" si="5"/>
        <v>0</v>
      </c>
      <c r="O50" s="205">
        <f t="shared" si="6"/>
        <v>0</v>
      </c>
      <c r="P50" s="206">
        <f t="shared" si="7"/>
        <v>0</v>
      </c>
      <c r="Q50" s="205">
        <f t="shared" si="8"/>
        <v>0</v>
      </c>
      <c r="R50" s="205">
        <f t="shared" si="9"/>
        <v>0</v>
      </c>
      <c r="S50" s="205">
        <f t="shared" si="10"/>
        <v>0</v>
      </c>
      <c r="T50" s="205">
        <f t="shared" si="11"/>
        <v>0</v>
      </c>
      <c r="U50" s="205">
        <f t="shared" si="12"/>
        <v>0</v>
      </c>
      <c r="V50" s="207">
        <f t="shared" si="18"/>
        <v>0</v>
      </c>
      <c r="W50" s="205">
        <f t="shared" si="19"/>
        <v>0</v>
      </c>
      <c r="X50" s="205">
        <f t="shared" si="13"/>
        <v>0</v>
      </c>
      <c r="Z50" s="205">
        <f t="shared" si="20"/>
        <v>338.61</v>
      </c>
      <c r="AA50" s="205">
        <f t="shared" si="14"/>
        <v>0</v>
      </c>
      <c r="AB50" s="208">
        <f t="shared" si="15"/>
        <v>0</v>
      </c>
      <c r="AC50" s="205">
        <f t="shared" si="21"/>
        <v>0</v>
      </c>
      <c r="AD50" s="205">
        <f t="shared" si="22"/>
        <v>0</v>
      </c>
      <c r="AE50" s="208">
        <f t="shared" si="23"/>
        <v>338.61</v>
      </c>
      <c r="AG50" s="210">
        <v>5.0000000000000001E-3</v>
      </c>
      <c r="AI50" s="178">
        <f t="shared" si="24"/>
        <v>338.61</v>
      </c>
      <c r="AJ50" s="178">
        <f t="shared" si="25"/>
        <v>0</v>
      </c>
      <c r="AK50" s="211">
        <f t="shared" si="26"/>
        <v>0</v>
      </c>
      <c r="AL50" s="209">
        <f t="shared" si="16"/>
        <v>0</v>
      </c>
    </row>
    <row r="51" spans="6:38" ht="15.6">
      <c r="F51" s="204">
        <v>16</v>
      </c>
      <c r="H51" s="205"/>
      <c r="I51" s="205">
        <f t="shared" si="0"/>
        <v>338.61</v>
      </c>
      <c r="J51" s="205">
        <f t="shared" si="1"/>
        <v>0</v>
      </c>
      <c r="K51" s="205">
        <f t="shared" si="2"/>
        <v>0</v>
      </c>
      <c r="L51" s="205">
        <f t="shared" si="3"/>
        <v>0</v>
      </c>
      <c r="M51" s="205">
        <f t="shared" si="4"/>
        <v>0</v>
      </c>
      <c r="N51" s="205">
        <f t="shared" si="5"/>
        <v>0</v>
      </c>
      <c r="O51" s="205">
        <f t="shared" si="6"/>
        <v>0</v>
      </c>
      <c r="P51" s="206">
        <f t="shared" si="7"/>
        <v>0</v>
      </c>
      <c r="Q51" s="205">
        <f t="shared" si="8"/>
        <v>0</v>
      </c>
      <c r="R51" s="205">
        <f t="shared" si="9"/>
        <v>0</v>
      </c>
      <c r="S51" s="205">
        <f t="shared" si="10"/>
        <v>0</v>
      </c>
      <c r="T51" s="205">
        <f t="shared" si="11"/>
        <v>0</v>
      </c>
      <c r="U51" s="205">
        <f t="shared" si="12"/>
        <v>0</v>
      </c>
      <c r="V51" s="207">
        <f t="shared" si="18"/>
        <v>0</v>
      </c>
      <c r="W51" s="205">
        <f t="shared" si="19"/>
        <v>0</v>
      </c>
      <c r="X51" s="205">
        <f t="shared" si="13"/>
        <v>0</v>
      </c>
      <c r="Z51" s="205">
        <f t="shared" si="20"/>
        <v>338.61</v>
      </c>
      <c r="AA51" s="205">
        <f t="shared" si="14"/>
        <v>0</v>
      </c>
      <c r="AB51" s="208">
        <f t="shared" si="15"/>
        <v>0</v>
      </c>
      <c r="AC51" s="205">
        <f t="shared" si="21"/>
        <v>0</v>
      </c>
      <c r="AD51" s="205">
        <f t="shared" si="22"/>
        <v>0</v>
      </c>
      <c r="AE51" s="208">
        <f t="shared" si="23"/>
        <v>338.61</v>
      </c>
      <c r="AG51" s="210">
        <v>5.0000000000000001E-3</v>
      </c>
      <c r="AI51" s="178">
        <f t="shared" si="24"/>
        <v>338.61</v>
      </c>
      <c r="AJ51" s="178">
        <f t="shared" si="25"/>
        <v>0</v>
      </c>
      <c r="AK51" s="211">
        <f t="shared" si="26"/>
        <v>0</v>
      </c>
      <c r="AL51" s="209">
        <f t="shared" si="16"/>
        <v>0</v>
      </c>
    </row>
    <row r="52" spans="6:38" ht="15.6">
      <c r="F52" s="204">
        <v>16</v>
      </c>
      <c r="H52" s="205"/>
      <c r="I52" s="205">
        <f t="shared" si="0"/>
        <v>338.61</v>
      </c>
      <c r="J52" s="205">
        <f t="shared" si="1"/>
        <v>0</v>
      </c>
      <c r="K52" s="205">
        <f t="shared" si="2"/>
        <v>0</v>
      </c>
      <c r="L52" s="205">
        <f t="shared" si="3"/>
        <v>0</v>
      </c>
      <c r="M52" s="205">
        <f t="shared" si="4"/>
        <v>0</v>
      </c>
      <c r="N52" s="205">
        <f t="shared" si="5"/>
        <v>0</v>
      </c>
      <c r="O52" s="205">
        <f t="shared" si="6"/>
        <v>0</v>
      </c>
      <c r="P52" s="206">
        <f t="shared" si="7"/>
        <v>0</v>
      </c>
      <c r="Q52" s="205">
        <f t="shared" si="8"/>
        <v>0</v>
      </c>
      <c r="R52" s="205">
        <f t="shared" si="9"/>
        <v>0</v>
      </c>
      <c r="S52" s="205">
        <f t="shared" si="10"/>
        <v>0</v>
      </c>
      <c r="T52" s="205">
        <f t="shared" si="11"/>
        <v>0</v>
      </c>
      <c r="U52" s="205">
        <f t="shared" si="12"/>
        <v>0</v>
      </c>
      <c r="V52" s="207">
        <f t="shared" si="18"/>
        <v>0</v>
      </c>
      <c r="W52" s="205">
        <f t="shared" si="19"/>
        <v>0</v>
      </c>
      <c r="X52" s="205">
        <f t="shared" si="13"/>
        <v>0</v>
      </c>
      <c r="Z52" s="205">
        <f t="shared" si="20"/>
        <v>338.61</v>
      </c>
      <c r="AA52" s="205">
        <f t="shared" si="14"/>
        <v>0</v>
      </c>
      <c r="AB52" s="208">
        <f t="shared" si="15"/>
        <v>0</v>
      </c>
      <c r="AC52" s="205">
        <f t="shared" si="21"/>
        <v>0</v>
      </c>
      <c r="AD52" s="205">
        <f t="shared" si="22"/>
        <v>0</v>
      </c>
      <c r="AE52" s="208">
        <f t="shared" si="23"/>
        <v>338.61</v>
      </c>
      <c r="AG52" s="210">
        <v>5.0000000000000001E-3</v>
      </c>
      <c r="AI52" s="178">
        <f t="shared" si="24"/>
        <v>338.61</v>
      </c>
      <c r="AJ52" s="178">
        <f t="shared" si="25"/>
        <v>0</v>
      </c>
      <c r="AK52" s="211">
        <f t="shared" si="26"/>
        <v>0</v>
      </c>
      <c r="AL52" s="209">
        <f t="shared" si="16"/>
        <v>0</v>
      </c>
    </row>
  </sheetData>
  <mergeCells count="4">
    <mergeCell ref="J3:K3"/>
    <mergeCell ref="Z6:AA6"/>
    <mergeCell ref="AP7:AR7"/>
    <mergeCell ref="AU7:AW7"/>
  </mergeCells>
  <pageMargins left="0.7" right="0.7" top="0.75" bottom="0.75" header="0.3" footer="0.3"/>
  <pageSetup orientation="portrait" horizontalDpi="4294967295" verticalDpi="4294967295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H50"/>
  <sheetViews>
    <sheetView workbookViewId="0">
      <selection activeCell="H10" sqref="H10"/>
    </sheetView>
  </sheetViews>
  <sheetFormatPr defaultColWidth="11.42578125" defaultRowHeight="13.15"/>
  <cols>
    <col min="1" max="7" width="11.42578125" style="3"/>
    <col min="8" max="8" width="12" style="3" customWidth="1"/>
    <col min="9" max="16384" width="11.42578125" style="3"/>
  </cols>
  <sheetData>
    <row r="2" spans="1:8">
      <c r="A2" s="1"/>
      <c r="B2" s="2"/>
      <c r="C2" s="2"/>
      <c r="D2" s="2"/>
      <c r="E2" s="2"/>
      <c r="F2" s="2"/>
      <c r="G2" s="2"/>
      <c r="H2" s="2"/>
    </row>
    <row r="3" spans="1:8">
      <c r="A3" s="1"/>
      <c r="B3" s="4"/>
      <c r="C3" s="4" t="s">
        <v>199</v>
      </c>
      <c r="D3" s="4" t="s">
        <v>13</v>
      </c>
      <c r="E3" s="4" t="s">
        <v>200</v>
      </c>
      <c r="F3" s="4"/>
      <c r="G3" s="4" t="s">
        <v>201</v>
      </c>
      <c r="H3" s="4" t="s">
        <v>202</v>
      </c>
    </row>
    <row r="4" spans="1:8">
      <c r="A4" s="1"/>
      <c r="B4" s="5" t="s">
        <v>14</v>
      </c>
      <c r="C4" s="5" t="s">
        <v>203</v>
      </c>
      <c r="D4" s="5" t="s">
        <v>204</v>
      </c>
      <c r="E4" s="5" t="s">
        <v>205</v>
      </c>
      <c r="F4" s="5" t="s">
        <v>104</v>
      </c>
      <c r="G4" s="5" t="s">
        <v>206</v>
      </c>
      <c r="H4" s="5" t="s">
        <v>207</v>
      </c>
    </row>
    <row r="5" spans="1:8">
      <c r="A5" s="1"/>
      <c r="B5" s="2"/>
      <c r="C5" s="2"/>
      <c r="D5" s="2"/>
      <c r="E5" s="2"/>
      <c r="F5" s="2"/>
      <c r="G5" s="2"/>
      <c r="H5" s="2"/>
    </row>
    <row r="6" spans="1:8">
      <c r="A6" s="1"/>
      <c r="B6" s="6">
        <v>1</v>
      </c>
      <c r="C6" s="6">
        <v>0</v>
      </c>
      <c r="D6" s="6">
        <v>6</v>
      </c>
      <c r="E6" s="7">
        <v>0.25</v>
      </c>
      <c r="F6" s="6">
        <v>15</v>
      </c>
      <c r="G6" s="6">
        <v>365</v>
      </c>
      <c r="H6" s="8">
        <f t="shared" ref="H6:H11" si="0">((((B6)+(D6*E6)/G6)+(F6/G6)))</f>
        <v>1.0452054794520547</v>
      </c>
    </row>
    <row r="7" spans="1:8">
      <c r="A7" s="1"/>
      <c r="B7" s="6">
        <v>1</v>
      </c>
      <c r="C7" s="6">
        <v>1</v>
      </c>
      <c r="D7" s="6">
        <v>6</v>
      </c>
      <c r="E7" s="7">
        <v>0.25</v>
      </c>
      <c r="F7" s="6">
        <v>15</v>
      </c>
      <c r="G7" s="6">
        <v>365</v>
      </c>
      <c r="H7" s="8">
        <f t="shared" si="0"/>
        <v>1.0452054794520547</v>
      </c>
    </row>
    <row r="8" spans="1:8">
      <c r="A8" s="1"/>
      <c r="B8" s="6">
        <v>1</v>
      </c>
      <c r="C8" s="6">
        <v>2</v>
      </c>
      <c r="D8" s="6">
        <v>8</v>
      </c>
      <c r="E8" s="7">
        <v>0.25</v>
      </c>
      <c r="F8" s="6">
        <v>15</v>
      </c>
      <c r="G8" s="6">
        <v>365</v>
      </c>
      <c r="H8" s="8">
        <f t="shared" si="0"/>
        <v>1.0465753424657533</v>
      </c>
    </row>
    <row r="9" spans="1:8">
      <c r="A9" s="1"/>
      <c r="B9" s="6">
        <v>1</v>
      </c>
      <c r="C9" s="6">
        <v>3</v>
      </c>
      <c r="D9" s="6">
        <v>10</v>
      </c>
      <c r="E9" s="7">
        <v>0.25</v>
      </c>
      <c r="F9" s="6">
        <v>15</v>
      </c>
      <c r="G9" s="6">
        <v>365</v>
      </c>
      <c r="H9" s="8">
        <f t="shared" si="0"/>
        <v>1.047945205479452</v>
      </c>
    </row>
    <row r="10" spans="1:8">
      <c r="A10" s="1"/>
      <c r="B10" s="6">
        <v>1</v>
      </c>
      <c r="C10" s="6">
        <v>4</v>
      </c>
      <c r="D10" s="6">
        <v>12</v>
      </c>
      <c r="E10" s="7">
        <v>0.25</v>
      </c>
      <c r="F10" s="6">
        <v>15</v>
      </c>
      <c r="G10" s="6">
        <v>365</v>
      </c>
      <c r="H10" s="8">
        <f t="shared" si="0"/>
        <v>1.0493150684931507</v>
      </c>
    </row>
    <row r="11" spans="1:8">
      <c r="A11" s="1"/>
      <c r="B11" s="6">
        <v>1</v>
      </c>
      <c r="C11" s="6">
        <v>5</v>
      </c>
      <c r="D11" s="6">
        <v>14</v>
      </c>
      <c r="E11" s="7">
        <v>0.25</v>
      </c>
      <c r="F11" s="6">
        <v>15</v>
      </c>
      <c r="G11" s="6">
        <v>365</v>
      </c>
      <c r="H11" s="8">
        <f t="shared" si="0"/>
        <v>1.0506849315068492</v>
      </c>
    </row>
    <row r="12" spans="1:8">
      <c r="A12" s="1"/>
      <c r="B12" s="6">
        <v>1</v>
      </c>
      <c r="C12" s="6">
        <v>6</v>
      </c>
      <c r="D12" s="6">
        <v>14</v>
      </c>
      <c r="E12" s="7">
        <v>0.25</v>
      </c>
      <c r="F12" s="6">
        <v>15</v>
      </c>
      <c r="G12" s="6">
        <v>365</v>
      </c>
      <c r="H12" s="8">
        <f t="shared" ref="H12:H25" si="1">((((B12)+(D12*E12)/G12)+(F12/G12)))</f>
        <v>1.0506849315068492</v>
      </c>
    </row>
    <row r="13" spans="1:8">
      <c r="A13" s="1"/>
      <c r="B13" s="6">
        <v>1</v>
      </c>
      <c r="C13" s="6">
        <v>7</v>
      </c>
      <c r="D13" s="6">
        <v>14</v>
      </c>
      <c r="E13" s="7">
        <v>0.25</v>
      </c>
      <c r="F13" s="6">
        <v>15</v>
      </c>
      <c r="G13" s="6">
        <v>365</v>
      </c>
      <c r="H13" s="8">
        <f t="shared" si="1"/>
        <v>1.0506849315068492</v>
      </c>
    </row>
    <row r="14" spans="1:8">
      <c r="A14" s="1"/>
      <c r="B14" s="6">
        <v>1</v>
      </c>
      <c r="C14" s="6">
        <v>8</v>
      </c>
      <c r="D14" s="6">
        <v>14</v>
      </c>
      <c r="E14" s="7">
        <v>0.25</v>
      </c>
      <c r="F14" s="6">
        <v>15</v>
      </c>
      <c r="G14" s="6">
        <v>365</v>
      </c>
      <c r="H14" s="8">
        <f t="shared" si="1"/>
        <v>1.0506849315068492</v>
      </c>
    </row>
    <row r="15" spans="1:8">
      <c r="A15" s="1"/>
      <c r="B15" s="6">
        <v>1</v>
      </c>
      <c r="C15" s="6">
        <v>9</v>
      </c>
      <c r="D15" s="6">
        <v>14</v>
      </c>
      <c r="E15" s="7">
        <v>0.25</v>
      </c>
      <c r="F15" s="6">
        <v>15</v>
      </c>
      <c r="G15" s="6">
        <v>365</v>
      </c>
      <c r="H15" s="8">
        <f t="shared" si="1"/>
        <v>1.0506849315068492</v>
      </c>
    </row>
    <row r="16" spans="1:8">
      <c r="A16" s="1"/>
      <c r="B16" s="6">
        <v>1</v>
      </c>
      <c r="C16" s="6">
        <v>10</v>
      </c>
      <c r="D16" s="6">
        <v>16</v>
      </c>
      <c r="E16" s="7">
        <v>0.25</v>
      </c>
      <c r="F16" s="6">
        <v>15</v>
      </c>
      <c r="G16" s="6">
        <v>365</v>
      </c>
      <c r="H16" s="8">
        <f t="shared" si="1"/>
        <v>1.0520547945205478</v>
      </c>
    </row>
    <row r="17" spans="2:8">
      <c r="B17" s="6">
        <v>1</v>
      </c>
      <c r="C17" s="6">
        <v>11</v>
      </c>
      <c r="D17" s="6">
        <v>16</v>
      </c>
      <c r="E17" s="7">
        <v>0.25</v>
      </c>
      <c r="F17" s="6">
        <v>15</v>
      </c>
      <c r="G17" s="6">
        <v>365</v>
      </c>
      <c r="H17" s="8">
        <f t="shared" si="1"/>
        <v>1.0520547945205478</v>
      </c>
    </row>
    <row r="18" spans="2:8">
      <c r="B18" s="6">
        <v>1</v>
      </c>
      <c r="C18" s="6">
        <v>12</v>
      </c>
      <c r="D18" s="6">
        <v>16</v>
      </c>
      <c r="E18" s="7">
        <v>0.25</v>
      </c>
      <c r="F18" s="6">
        <v>15</v>
      </c>
      <c r="G18" s="6">
        <v>365</v>
      </c>
      <c r="H18" s="8">
        <f t="shared" si="1"/>
        <v>1.0520547945205478</v>
      </c>
    </row>
    <row r="19" spans="2:8">
      <c r="B19" s="6">
        <v>1</v>
      </c>
      <c r="C19" s="6">
        <v>13</v>
      </c>
      <c r="D19" s="6">
        <v>16</v>
      </c>
      <c r="E19" s="7">
        <v>0.25</v>
      </c>
      <c r="F19" s="6">
        <v>15</v>
      </c>
      <c r="G19" s="6">
        <v>365</v>
      </c>
      <c r="H19" s="8">
        <f t="shared" si="1"/>
        <v>1.0520547945205478</v>
      </c>
    </row>
    <row r="20" spans="2:8">
      <c r="B20" s="6">
        <v>1</v>
      </c>
      <c r="C20" s="6">
        <v>14</v>
      </c>
      <c r="D20" s="6">
        <v>16</v>
      </c>
      <c r="E20" s="7">
        <v>0.25</v>
      </c>
      <c r="F20" s="6">
        <v>15</v>
      </c>
      <c r="G20" s="6">
        <v>365</v>
      </c>
      <c r="H20" s="8">
        <f t="shared" si="1"/>
        <v>1.0520547945205478</v>
      </c>
    </row>
    <row r="21" spans="2:8">
      <c r="B21" s="6">
        <v>1</v>
      </c>
      <c r="C21" s="6">
        <v>15</v>
      </c>
      <c r="D21" s="6">
        <v>18</v>
      </c>
      <c r="E21" s="7">
        <v>0.25</v>
      </c>
      <c r="F21" s="6">
        <v>15</v>
      </c>
      <c r="G21" s="6">
        <v>365</v>
      </c>
      <c r="H21" s="8">
        <f t="shared" si="1"/>
        <v>1.0534246575342465</v>
      </c>
    </row>
    <row r="22" spans="2:8">
      <c r="B22" s="6">
        <v>1</v>
      </c>
      <c r="C22" s="6">
        <v>16</v>
      </c>
      <c r="D22" s="6">
        <v>18</v>
      </c>
      <c r="E22" s="7">
        <v>0.25</v>
      </c>
      <c r="F22" s="6">
        <v>15</v>
      </c>
      <c r="G22" s="6">
        <v>365</v>
      </c>
      <c r="H22" s="8">
        <f t="shared" si="1"/>
        <v>1.0534246575342465</v>
      </c>
    </row>
    <row r="23" spans="2:8">
      <c r="B23" s="6">
        <v>1</v>
      </c>
      <c r="C23" s="6">
        <v>17</v>
      </c>
      <c r="D23" s="6">
        <v>18</v>
      </c>
      <c r="E23" s="7">
        <v>0.25</v>
      </c>
      <c r="F23" s="6">
        <v>15</v>
      </c>
      <c r="G23" s="6">
        <v>365</v>
      </c>
      <c r="H23" s="8">
        <f t="shared" si="1"/>
        <v>1.0534246575342465</v>
      </c>
    </row>
    <row r="24" spans="2:8">
      <c r="B24" s="6">
        <v>1</v>
      </c>
      <c r="C24" s="6">
        <v>18</v>
      </c>
      <c r="D24" s="6">
        <v>18</v>
      </c>
      <c r="E24" s="7">
        <v>0.25</v>
      </c>
      <c r="F24" s="6">
        <v>15</v>
      </c>
      <c r="G24" s="6">
        <v>365</v>
      </c>
      <c r="H24" s="8">
        <f t="shared" si="1"/>
        <v>1.0534246575342465</v>
      </c>
    </row>
    <row r="25" spans="2:8">
      <c r="B25" s="6">
        <v>1</v>
      </c>
      <c r="C25" s="6">
        <v>19</v>
      </c>
      <c r="D25" s="6">
        <v>18</v>
      </c>
      <c r="E25" s="7">
        <v>0.25</v>
      </c>
      <c r="F25" s="6">
        <v>15</v>
      </c>
      <c r="G25" s="6">
        <v>365</v>
      </c>
      <c r="H25" s="8">
        <f t="shared" si="1"/>
        <v>1.0534246575342465</v>
      </c>
    </row>
    <row r="26" spans="2:8">
      <c r="B26" s="6">
        <v>1</v>
      </c>
      <c r="C26" s="6">
        <v>20</v>
      </c>
      <c r="D26" s="6">
        <v>20</v>
      </c>
      <c r="E26" s="7">
        <v>0.25</v>
      </c>
      <c r="F26" s="6">
        <v>15</v>
      </c>
      <c r="G26" s="6">
        <v>365</v>
      </c>
      <c r="H26" s="8">
        <f t="shared" ref="H26:H49" si="2">((((B26)+(D26*E26)/G26)+(F26/G26)))</f>
        <v>1.0547945205479452</v>
      </c>
    </row>
    <row r="27" spans="2:8">
      <c r="B27" s="6">
        <v>1</v>
      </c>
      <c r="C27" s="6">
        <v>21</v>
      </c>
      <c r="D27" s="6">
        <v>20</v>
      </c>
      <c r="E27" s="7">
        <v>0.25</v>
      </c>
      <c r="F27" s="6">
        <v>15</v>
      </c>
      <c r="G27" s="6">
        <v>365</v>
      </c>
      <c r="H27" s="8">
        <f t="shared" si="2"/>
        <v>1.0547945205479452</v>
      </c>
    </row>
    <row r="28" spans="2:8">
      <c r="B28" s="6">
        <v>1</v>
      </c>
      <c r="C28" s="6">
        <v>22</v>
      </c>
      <c r="D28" s="6">
        <v>20</v>
      </c>
      <c r="E28" s="7">
        <v>0.25</v>
      </c>
      <c r="F28" s="6">
        <v>15</v>
      </c>
      <c r="G28" s="6">
        <v>365</v>
      </c>
      <c r="H28" s="8">
        <f t="shared" si="2"/>
        <v>1.0547945205479452</v>
      </c>
    </row>
    <row r="29" spans="2:8">
      <c r="B29" s="6">
        <v>1</v>
      </c>
      <c r="C29" s="6">
        <v>23</v>
      </c>
      <c r="D29" s="6">
        <v>20</v>
      </c>
      <c r="E29" s="7">
        <v>0.25</v>
      </c>
      <c r="F29" s="6">
        <v>15</v>
      </c>
      <c r="G29" s="6">
        <v>365</v>
      </c>
      <c r="H29" s="8">
        <f t="shared" si="2"/>
        <v>1.0547945205479452</v>
      </c>
    </row>
    <row r="30" spans="2:8">
      <c r="B30" s="6">
        <v>1</v>
      </c>
      <c r="C30" s="6">
        <v>24</v>
      </c>
      <c r="D30" s="6">
        <v>20</v>
      </c>
      <c r="E30" s="7">
        <v>0.25</v>
      </c>
      <c r="F30" s="6">
        <v>15</v>
      </c>
      <c r="G30" s="6">
        <v>365</v>
      </c>
      <c r="H30" s="8">
        <f t="shared" si="2"/>
        <v>1.0547945205479452</v>
      </c>
    </row>
    <row r="31" spans="2:8">
      <c r="B31" s="6">
        <v>1</v>
      </c>
      <c r="C31" s="6">
        <v>25</v>
      </c>
      <c r="D31" s="6">
        <v>22</v>
      </c>
      <c r="E31" s="7">
        <v>0.25</v>
      </c>
      <c r="F31" s="6">
        <v>15</v>
      </c>
      <c r="G31" s="6">
        <v>365</v>
      </c>
      <c r="H31" s="8">
        <f t="shared" si="2"/>
        <v>1.0561643835616439</v>
      </c>
    </row>
    <row r="32" spans="2:8">
      <c r="B32" s="6">
        <v>1</v>
      </c>
      <c r="C32" s="6">
        <v>26</v>
      </c>
      <c r="D32" s="6">
        <v>22</v>
      </c>
      <c r="E32" s="7">
        <v>0.25</v>
      </c>
      <c r="F32" s="6">
        <v>15</v>
      </c>
      <c r="G32" s="6">
        <v>365</v>
      </c>
      <c r="H32" s="8">
        <f t="shared" si="2"/>
        <v>1.0561643835616439</v>
      </c>
    </row>
    <row r="33" spans="2:8">
      <c r="B33" s="6">
        <v>1</v>
      </c>
      <c r="C33" s="6">
        <v>27</v>
      </c>
      <c r="D33" s="6">
        <v>22</v>
      </c>
      <c r="E33" s="7">
        <v>0.25</v>
      </c>
      <c r="F33" s="6">
        <v>15</v>
      </c>
      <c r="G33" s="6">
        <v>365</v>
      </c>
      <c r="H33" s="8">
        <f t="shared" si="2"/>
        <v>1.0561643835616439</v>
      </c>
    </row>
    <row r="34" spans="2:8">
      <c r="B34" s="6">
        <v>1</v>
      </c>
      <c r="C34" s="6">
        <v>28</v>
      </c>
      <c r="D34" s="6">
        <v>22</v>
      </c>
      <c r="E34" s="7">
        <v>0.25</v>
      </c>
      <c r="F34" s="6">
        <v>15</v>
      </c>
      <c r="G34" s="6">
        <v>365</v>
      </c>
      <c r="H34" s="8">
        <f t="shared" si="2"/>
        <v>1.0561643835616439</v>
      </c>
    </row>
    <row r="35" spans="2:8">
      <c r="B35" s="6">
        <v>1</v>
      </c>
      <c r="C35" s="6">
        <v>29</v>
      </c>
      <c r="D35" s="6">
        <v>22</v>
      </c>
      <c r="E35" s="7">
        <v>0.25</v>
      </c>
      <c r="F35" s="6">
        <v>15</v>
      </c>
      <c r="G35" s="6">
        <v>365</v>
      </c>
      <c r="H35" s="8">
        <f t="shared" si="2"/>
        <v>1.0561643835616439</v>
      </c>
    </row>
    <row r="36" spans="2:8">
      <c r="B36" s="6">
        <v>1</v>
      </c>
      <c r="C36" s="6">
        <v>30</v>
      </c>
      <c r="D36" s="6">
        <v>24</v>
      </c>
      <c r="E36" s="7">
        <v>0.25</v>
      </c>
      <c r="F36" s="6">
        <v>15</v>
      </c>
      <c r="G36" s="6">
        <v>365</v>
      </c>
      <c r="H36" s="8">
        <f t="shared" si="2"/>
        <v>1.0575342465753423</v>
      </c>
    </row>
    <row r="37" spans="2:8">
      <c r="B37" s="6">
        <v>1</v>
      </c>
      <c r="C37" s="6">
        <v>31</v>
      </c>
      <c r="D37" s="6">
        <v>24</v>
      </c>
      <c r="E37" s="7">
        <v>0.25</v>
      </c>
      <c r="F37" s="6">
        <v>15</v>
      </c>
      <c r="G37" s="6">
        <v>365</v>
      </c>
      <c r="H37" s="8">
        <f t="shared" si="2"/>
        <v>1.0575342465753423</v>
      </c>
    </row>
    <row r="38" spans="2:8">
      <c r="B38" s="6">
        <v>1</v>
      </c>
      <c r="C38" s="6">
        <v>32</v>
      </c>
      <c r="D38" s="6">
        <v>24</v>
      </c>
      <c r="E38" s="7">
        <v>0.25</v>
      </c>
      <c r="F38" s="6">
        <v>15</v>
      </c>
      <c r="G38" s="6">
        <v>365</v>
      </c>
      <c r="H38" s="8">
        <f t="shared" si="2"/>
        <v>1.0575342465753423</v>
      </c>
    </row>
    <row r="39" spans="2:8">
      <c r="B39" s="6">
        <v>1</v>
      </c>
      <c r="C39" s="6">
        <v>33</v>
      </c>
      <c r="D39" s="6">
        <v>24</v>
      </c>
      <c r="E39" s="7">
        <v>0.25</v>
      </c>
      <c r="F39" s="6">
        <v>15</v>
      </c>
      <c r="G39" s="6">
        <v>365</v>
      </c>
      <c r="H39" s="8">
        <f t="shared" si="2"/>
        <v>1.0575342465753423</v>
      </c>
    </row>
    <row r="40" spans="2:8">
      <c r="B40" s="6">
        <v>1</v>
      </c>
      <c r="C40" s="6">
        <v>34</v>
      </c>
      <c r="D40" s="6">
        <v>24</v>
      </c>
      <c r="E40" s="7">
        <v>0.25</v>
      </c>
      <c r="F40" s="6">
        <v>15</v>
      </c>
      <c r="G40" s="6">
        <v>365</v>
      </c>
      <c r="H40" s="8">
        <f t="shared" si="2"/>
        <v>1.0575342465753423</v>
      </c>
    </row>
    <row r="41" spans="2:8">
      <c r="B41" s="6">
        <v>1</v>
      </c>
      <c r="C41" s="6">
        <v>35</v>
      </c>
      <c r="D41" s="6">
        <v>26</v>
      </c>
      <c r="E41" s="7">
        <v>0.25</v>
      </c>
      <c r="F41" s="6">
        <v>15</v>
      </c>
      <c r="G41" s="6">
        <v>365</v>
      </c>
      <c r="H41" s="8">
        <f t="shared" si="2"/>
        <v>1.058904109589041</v>
      </c>
    </row>
    <row r="42" spans="2:8">
      <c r="B42" s="6">
        <v>1</v>
      </c>
      <c r="C42" s="6">
        <v>36</v>
      </c>
      <c r="D42" s="6">
        <v>26</v>
      </c>
      <c r="E42" s="7">
        <v>0.25</v>
      </c>
      <c r="F42" s="6">
        <v>15</v>
      </c>
      <c r="G42" s="6">
        <v>365</v>
      </c>
      <c r="H42" s="8">
        <f t="shared" si="2"/>
        <v>1.058904109589041</v>
      </c>
    </row>
    <row r="43" spans="2:8">
      <c r="B43" s="6">
        <v>1</v>
      </c>
      <c r="C43" s="6">
        <v>37</v>
      </c>
      <c r="D43" s="6">
        <v>26</v>
      </c>
      <c r="E43" s="7">
        <v>0.25</v>
      </c>
      <c r="F43" s="6">
        <v>15</v>
      </c>
      <c r="G43" s="6">
        <v>365</v>
      </c>
      <c r="H43" s="8">
        <f t="shared" si="2"/>
        <v>1.058904109589041</v>
      </c>
    </row>
    <row r="44" spans="2:8">
      <c r="B44" s="6">
        <v>1</v>
      </c>
      <c r="C44" s="6">
        <v>38</v>
      </c>
      <c r="D44" s="6">
        <v>26</v>
      </c>
      <c r="E44" s="7">
        <v>0.25</v>
      </c>
      <c r="F44" s="6">
        <v>15</v>
      </c>
      <c r="G44" s="6">
        <v>365</v>
      </c>
      <c r="H44" s="8">
        <f t="shared" si="2"/>
        <v>1.058904109589041</v>
      </c>
    </row>
    <row r="45" spans="2:8">
      <c r="B45" s="6">
        <v>1</v>
      </c>
      <c r="C45" s="6">
        <v>39</v>
      </c>
      <c r="D45" s="6">
        <v>26</v>
      </c>
      <c r="E45" s="7">
        <v>0.25</v>
      </c>
      <c r="F45" s="6">
        <v>15</v>
      </c>
      <c r="G45" s="6">
        <v>365</v>
      </c>
      <c r="H45" s="8">
        <f t="shared" si="2"/>
        <v>1.058904109589041</v>
      </c>
    </row>
    <row r="46" spans="2:8">
      <c r="B46" s="6">
        <v>1</v>
      </c>
      <c r="C46" s="6">
        <v>40</v>
      </c>
      <c r="D46" s="6">
        <v>28</v>
      </c>
      <c r="E46" s="7">
        <v>0.25</v>
      </c>
      <c r="F46" s="6">
        <v>15</v>
      </c>
      <c r="G46" s="6">
        <v>365</v>
      </c>
      <c r="H46" s="8">
        <f t="shared" si="2"/>
        <v>1.0602739726027397</v>
      </c>
    </row>
    <row r="47" spans="2:8">
      <c r="B47" s="6">
        <v>1</v>
      </c>
      <c r="C47" s="6">
        <v>41</v>
      </c>
      <c r="D47" s="6">
        <v>28</v>
      </c>
      <c r="E47" s="7">
        <v>0.25</v>
      </c>
      <c r="F47" s="6">
        <v>15</v>
      </c>
      <c r="G47" s="6">
        <v>365</v>
      </c>
      <c r="H47" s="8">
        <f t="shared" si="2"/>
        <v>1.0602739726027397</v>
      </c>
    </row>
    <row r="48" spans="2:8">
      <c r="B48" s="6">
        <v>1</v>
      </c>
      <c r="C48" s="6">
        <v>42</v>
      </c>
      <c r="D48" s="6">
        <v>28</v>
      </c>
      <c r="E48" s="7">
        <v>0.25</v>
      </c>
      <c r="F48" s="6">
        <v>15</v>
      </c>
      <c r="G48" s="6">
        <v>365</v>
      </c>
      <c r="H48" s="8">
        <f t="shared" si="2"/>
        <v>1.0602739726027397</v>
      </c>
    </row>
    <row r="49" spans="2:8">
      <c r="B49" s="6">
        <v>1</v>
      </c>
      <c r="C49" s="6">
        <v>43</v>
      </c>
      <c r="D49" s="6">
        <v>28</v>
      </c>
      <c r="E49" s="7">
        <v>0.25</v>
      </c>
      <c r="F49" s="6">
        <v>15</v>
      </c>
      <c r="G49" s="6">
        <v>365</v>
      </c>
      <c r="H49" s="8">
        <f t="shared" si="2"/>
        <v>1.0602739726027397</v>
      </c>
    </row>
    <row r="50" spans="2:8">
      <c r="B50" s="6">
        <v>1</v>
      </c>
      <c r="C50" s="6">
        <v>43</v>
      </c>
      <c r="D50" s="6">
        <v>28</v>
      </c>
      <c r="E50" s="7">
        <v>0.25</v>
      </c>
      <c r="F50" s="6">
        <v>15</v>
      </c>
      <c r="G50" s="6">
        <v>365</v>
      </c>
      <c r="H50" s="8">
        <f>((((B50)+(D50*E50)/G50)+(F50/G50)))</f>
        <v>1.0602739726027397</v>
      </c>
    </row>
  </sheetData>
  <sheetProtection password="8D9F" sheet="1" objects="1" scenarios="1" formatCells="0" formatColumns="0" formatRows="0" insertColumns="0" insertRows="0" deleteColumns="0" deleteRows="0" sort="0" autoFilter="0"/>
  <phoneticPr fontId="17" type="noConversion"/>
  <pageMargins left="0.75" right="0.75" top="1" bottom="1" header="0" footer="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FDF7BAC4CB9E6449B5E84206DB5E8C6" ma:contentTypeVersion="197" ma:contentTypeDescription="Crear nuevo documento." ma:contentTypeScope="" ma:versionID="1f2c544eaac8699f421c629bf1ecf03d">
  <xsd:schema xmlns:xsd="http://www.w3.org/2001/XMLSchema" xmlns:xs="http://www.w3.org/2001/XMLSchema" xmlns:p="http://schemas.microsoft.com/office/2006/metadata/properties" xmlns:ns2="2d87467a-1d18-4ec7-b80e-f2617aa35209" xmlns:ns3="77f64de6-b0a8-4510-8bb3-53b0081a06bd" xmlns:ns4="eef73f31-691d-4c88-9f51-b1c4ba1d32ca" xmlns:ns5="2ddb2e16-f894-47d3-8a90-d4a3e9becb03" targetNamespace="http://schemas.microsoft.com/office/2006/metadata/properties" ma:root="true" ma:fieldsID="f4156442ed90cec9c1b2cd6761d78032" ns2:_="" ns3:_="" ns4:_="" ns5:_="">
    <xsd:import namespace="2d87467a-1d18-4ec7-b80e-f2617aa35209"/>
    <xsd:import namespace="77f64de6-b0a8-4510-8bb3-53b0081a06bd"/>
    <xsd:import namespace="eef73f31-691d-4c88-9f51-b1c4ba1d32ca"/>
    <xsd:import namespace="2ddb2e16-f894-47d3-8a90-d4a3e9becb0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  <xsd:element ref="ns4:lcf76f155ced4ddcb4097134ff3c332f" minOccurs="0"/>
                <xsd:element ref="ns5:TaxCatchAll" minOccurs="0"/>
                <xsd:element ref="ns4:MediaServiceObjectDetectorVersion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87467a-1d18-4ec7-b80e-f2617aa3520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64de6-b0a8-4510-8bb3-53b0081a06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f73f31-691d-4c88-9f51-b1c4ba1d32ca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a70d4b38-0615-422a-a24d-fd3c34feced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db2e16-f894-47d3-8a90-d4a3e9becb03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e8f1870d-4131-4000-9c23-0d967d9e7347}" ma:internalName="TaxCatchAll" ma:readOnly="false" ma:showField="CatchAllData" ma:web="2ddb2e16-f894-47d3-8a90-d4a3e9becb0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ef73f31-691d-4c88-9f51-b1c4ba1d32ca">
      <Terms xmlns="http://schemas.microsoft.com/office/infopath/2007/PartnerControls"/>
    </lcf76f155ced4ddcb4097134ff3c332f>
    <TaxCatchAll xmlns="2ddb2e16-f894-47d3-8a90-d4a3e9becb03" xsi:nil="true"/>
  </documentManagement>
</p:properties>
</file>

<file path=customXml/itemProps1.xml><?xml version="1.0" encoding="utf-8"?>
<ds:datastoreItem xmlns:ds="http://schemas.openxmlformats.org/officeDocument/2006/customXml" ds:itemID="{BB2ACE16-F42D-4B47-81A8-3E0D336C8B1F}"/>
</file>

<file path=customXml/itemProps2.xml><?xml version="1.0" encoding="utf-8"?>
<ds:datastoreItem xmlns:ds="http://schemas.openxmlformats.org/officeDocument/2006/customXml" ds:itemID="{CB27F071-941A-472B-96CD-07729C740DD8}"/>
</file>

<file path=customXml/itemProps3.xml><?xml version="1.0" encoding="utf-8"?>
<ds:datastoreItem xmlns:ds="http://schemas.openxmlformats.org/officeDocument/2006/customXml" ds:itemID="{070F8220-650F-447C-95E5-874A4BB9A6F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Raul Rodriguez</dc:creator>
  <cp:keywords/>
  <dc:description/>
  <cp:lastModifiedBy/>
  <cp:revision/>
  <dcterms:created xsi:type="dcterms:W3CDTF">2023-11-27T21:15:29Z</dcterms:created>
  <dcterms:modified xsi:type="dcterms:W3CDTF">2025-12-04T18:35:30Z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0x010100BFDF7BAC4CB9E6449B5E84206DB5E8C6</vt:lpwstr>
  </property>
  <property fmtid="{D5CDD505-2E9C-101B-9397-08002B2CF9AE}" pid="3" name="MediaServiceImageTags">
    <vt:lpwstr/>
  </property>
</Properties>
</file>